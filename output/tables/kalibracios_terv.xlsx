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bracios terv" sheetId="1" state="visible" r:id="rId1"/>
    <sheet xmlns:r="http://schemas.openxmlformats.org/officeDocument/2006/relationships" name="Osszegzo" sheetId="2" state="visible" r:id="rId2"/>
  </sheets>
  <definedNames>
    <definedName name="_xlnm._FilterDatabase" localSheetId="0" hidden="1">'Kalibracios terv'!$A$1:$P$92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  <font>
      <name val="Arial"/>
      <i val="1"/>
      <sz val="9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42" customWidth="1" min="3" max="3"/>
    <col width="42" customWidth="1" min="4" max="4"/>
    <col width="52" customWidth="1" min="5" max="5"/>
    <col width="56" customWidth="1" min="6" max="6"/>
    <col width="34" customWidth="1" min="7" max="7"/>
    <col width="46" customWidth="1" min="8" max="8"/>
    <col width="46" customWidth="1" min="9" max="9"/>
    <col width="42" customWidth="1" min="10" max="10"/>
    <col width="34" customWidth="1" min="11" max="11"/>
    <col width="14" customWidth="1" min="12" max="12"/>
    <col width="10" customWidth="1" min="13" max="13"/>
    <col width="14" customWidth="1" min="14" max="14"/>
    <col width="30" customWidth="1" min="15" max="15"/>
    <col width="12" customWidth="1" min="16" max="16"/>
  </cols>
  <sheetData>
    <row r="1" ht="46" customHeight="1">
      <c r="A1" s="6" t="inlineStr">
        <is>
          <t>Jele</t>
        </is>
      </c>
      <c r="B1" s="6" t="inlineStr">
        <is>
          <t>Neve</t>
        </is>
      </c>
      <c r="C1" s="6" t="inlineStr">
        <is>
          <t>Jelentése</t>
        </is>
      </c>
      <c r="D1" s="6" t="inlineStr">
        <is>
          <t>Szerepe a modellben</t>
        </is>
      </c>
      <c r="E1" s="6" t="inlineStr">
        <is>
          <t>Mit határoz meg / mire hat</t>
        </is>
      </c>
      <c r="F1" s="6" t="inlineStr">
        <is>
          <t>Hogyan számolható ki (képlet + szóban)</t>
        </is>
      </c>
      <c r="G1" s="6" t="inlineStr">
        <is>
          <t>Adatigény</t>
        </is>
      </c>
      <c r="H1" s="6" t="inlineStr">
        <is>
          <t>Szakirodalmi érték és intervallum</t>
        </is>
      </c>
      <c r="I1" s="6" t="inlineStr">
        <is>
          <t>Megcsinálható a jelenlegi adatból?</t>
        </is>
      </c>
      <c r="J1" s="6" t="inlineStr">
        <is>
          <t>Ha nem, milyen adat kell</t>
        </is>
      </c>
      <c r="K1" s="6" t="inlineStr">
        <is>
          <t>Konvencionális? (átvehető-e)</t>
        </is>
      </c>
      <c r="L1" s="6" t="inlineStr">
        <is>
          <t>Jelenlegi érték (OPTEN=0)</t>
        </is>
      </c>
      <c r="M1" s="6" t="inlineStr">
        <is>
          <t>Kategória</t>
        </is>
      </c>
      <c r="N1" s="6" t="inlineStr">
        <is>
          <t>Státusz</t>
        </is>
      </c>
      <c r="O1" s="6" t="inlineStr">
        <is>
          <t>Hatás</t>
        </is>
      </c>
      <c r="P1" s="6" t="inlineStr">
        <is>
          <t>Kapcsoló</t>
        </is>
      </c>
    </row>
    <row r="2">
      <c r="A2" s="7" t="inlineStr">
        <is>
          <t>beta</t>
        </is>
      </c>
      <c r="B2" s="7" t="inlineStr">
        <is>
          <t>Diszkontfaktor</t>
        </is>
      </c>
      <c r="C2" s="7" t="inlineStr">
        <is>
          <t>A jövőbeli hasznosság negyedéves leszámítolása.</t>
        </is>
      </c>
      <c r="D2" s="7" t="inlineStr">
        <is>
          <t>Minden előretekintő egyenletben (Euler, Phillips, NFA).</t>
        </is>
      </c>
      <c r="E2" s="7" t="inlineStr">
        <is>
          <t>A steady-state reálkamat: r_ss = 1/beta − 1. ⚠ NEM származtatott: ő az INPUTJA a lam_p/lam_w-nek.</t>
        </is>
      </c>
      <c r="F2" s="7" t="inlineStr">
        <is>
          <t>beta = 1/(1 + r_reál_negyedéves). A 0,99 ≈ 4%/év reálkamatnak felel meg.</t>
        </is>
      </c>
      <c r="G2" s="7" t="inlineStr">
        <is>
          <t>Hosszú távú reálkamat.</t>
        </is>
      </c>
      <c r="H2" s="7" t="inlineStr">
        <is>
          <t>0,985–0,995 (gyakorlatilag mindig 0,99)</t>
        </is>
      </c>
      <c r="I2" s="7" t="inlineStr">
        <is>
          <t>MEGVAN — a .mod fixen 0,99.</t>
        </is>
      </c>
      <c r="J2" s="7" t="inlineStr">
        <is>
          <t>—</t>
        </is>
      </c>
      <c r="K2" s="7" t="inlineStr">
        <is>
          <t>IGEN — ez a legkonvencionálisabb paraméter az egész modellben.</t>
        </is>
      </c>
      <c r="L2" s="7" t="n">
        <v>0.99</v>
      </c>
      <c r="M2" s="7" t="inlineStr">
        <is>
          <t>E</t>
        </is>
      </c>
      <c r="N2" s="7" t="inlineStr">
        <is>
          <t>horgonyzott</t>
        </is>
      </c>
      <c r="O2" s="7" t="inlineStr">
        <is>
          <t>aktív (a model blokkban 29 előfordulás)</t>
        </is>
      </c>
      <c r="P2" s="7" t="inlineStr"/>
    </row>
    <row r="3">
      <c r="A3" s="7" t="inlineStr">
        <is>
          <t>delta</t>
        </is>
      </c>
      <c r="B3" s="7" t="inlineStr">
        <is>
          <t>Negyedéves amortizációs ráta</t>
        </is>
      </c>
      <c r="C3" s="7" t="inlineStr">
        <is>
          <t>A tőkeállomány negyedéves leírási üteme.</t>
        </is>
      </c>
      <c r="D3" s="7" t="inlineStr">
        <is>
          <t>k_j = (1−delta)·k_j(−1) + delta·i_j.</t>
        </is>
      </c>
      <c r="E3" s="7" t="inlineStr">
        <is>
          <t>🟡 A tőkedinamika sebessége. Közös paraméter, nem hoz létre méretkülönbséget.</t>
        </is>
      </c>
      <c r="F3" s="7" t="inlineStr">
        <is>
          <t>delta = éves écs / bruttó tárgyi eszköz, negyedévesítve (osztva 4-gyel vagy 1−(1−delta_év)^(1/4)).</t>
        </is>
      </c>
      <c r="G3" s="7" t="inlineStr">
        <is>
          <t>Cégszintű vagy nemzeti számlás écs + tőkeállomány.</t>
        </is>
      </c>
      <c r="H3" s="7" t="inlineStr">
        <is>
          <t>0,020–0,030 negyedéves (8–12%/év)</t>
        </is>
      </c>
      <c r="I3" s="7" t="inlineStr">
        <is>
          <t>✅ MEGVAN — saját mérés: 0,0242 (Opten-panel), az átvett 0,025-höz nagyon közel. Két független forrás egyezik (A09).</t>
        </is>
      </c>
      <c r="J3" s="7" t="inlineStr">
        <is>
          <t>—</t>
        </is>
      </c>
      <c r="K3" s="7" t="inlineStr">
        <is>
          <t>IGEN — de nálunk már mérve is van.</t>
        </is>
      </c>
      <c r="L3" s="7" t="n">
        <v>0.025</v>
      </c>
      <c r="M3" s="7" t="inlineStr">
        <is>
          <t>A</t>
        </is>
      </c>
      <c r="N3" s="7" t="inlineStr">
        <is>
          <t>horgonyzott</t>
        </is>
      </c>
      <c r="O3" s="7" t="inlineStr">
        <is>
          <t>aktív</t>
        </is>
      </c>
      <c r="P3" s="7" t="inlineStr">
        <is>
          <t>-DOPTEN</t>
        </is>
      </c>
    </row>
    <row r="4">
      <c r="A4" s="7" t="inlineStr">
        <is>
          <t>sigma</t>
        </is>
      </c>
      <c r="B4" s="7" t="inlineStr">
        <is>
          <t>Relatív kockázatkerülés</t>
        </is>
      </c>
      <c r="C4" s="7" t="inlineStr">
        <is>
          <t>Az intertemporális helyettesítési rugalmasság reciproka.</t>
        </is>
      </c>
      <c r="D4" s="7" t="inlineStr">
        <is>
          <t>A fogyasztási Euler-egyenlet kamatérzékenységét szabja meg.</t>
        </is>
      </c>
      <c r="E4" s="7" t="inlineStr">
        <is>
          <t>Az aggregált fogyasztás reakciója a reálkamatra; közvetve az egész euró-csatorna erőssége. Nem típus-specifikus.</t>
        </is>
      </c>
      <c r="F4" s="7" t="inlineStr">
        <is>
          <t>Euler-egyenletből: c_t = E[c_{t+1}] − (1/sigma)·(r_t − E[pi_{t+1}]). A sigma a fogyasztásnövekedés és a reálkamat közti regresszió meredekségének reciproka.</t>
        </is>
      </c>
      <c r="G4" s="7" t="inlineStr">
        <is>
          <t>Negyedéves reálfogyasztás + ex-ante reálkamat idősor.</t>
        </is>
      </c>
      <c r="H4" s="7" t="inlineStr">
        <is>
          <t>1,0–2,5 (Smets–Wouters 1,38; JV 1,814)</t>
        </is>
      </c>
      <c r="I4" s="7" t="inlineStr">
        <is>
          <t>NEM — a projekt nem futtat Bayes-i becslést; a készlet együttesen becsült.</t>
        </is>
      </c>
      <c r="J4" s="7" t="inlineStr">
        <is>
          <t>Teljes újrabecslés mai magyar mintán (önálló kutatási projekt, nem fér a decemberi leadásba).</t>
        </is>
      </c>
      <c r="K4" s="7" t="inlineStr">
        <is>
          <t>IGEN — széles körben átvett tartomány.</t>
        </is>
      </c>
      <c r="L4" s="7" t="n">
        <v>1.814</v>
      </c>
      <c r="M4" s="7" t="inlineStr">
        <is>
          <t>C</t>
        </is>
      </c>
      <c r="N4" s="7" t="inlineStr">
        <is>
          <t>horgonyzott</t>
        </is>
      </c>
      <c r="O4" s="7" t="inlineStr">
        <is>
          <t>aktív</t>
        </is>
      </c>
      <c r="P4" s="7" t="inlineStr"/>
    </row>
    <row r="5">
      <c r="A5" s="7" t="inlineStr">
        <is>
          <t>habit</t>
        </is>
      </c>
      <c r="B5" s="7" t="inlineStr">
        <is>
          <t>Szokásformálás</t>
        </is>
      </c>
      <c r="C5" s="7" t="inlineStr">
        <is>
          <t>A múltbeli fogyasztás súlya a jelenlegi hasznosságban.</t>
        </is>
      </c>
      <c r="D5" s="7" t="inlineStr">
        <is>
          <t>Inerciát ad a fogyasztásnak: nem ugrik azonnal az új szintre.</t>
        </is>
      </c>
      <c r="E5" s="7" t="inlineStr">
        <is>
          <t>A GDP-hatás időbeli lefutása (hump-shape). A hosszú távú szintet nem.</t>
        </is>
      </c>
      <c r="F5" s="7" t="inlineStr">
        <is>
          <t>A fogyasztás AR(1) együtthatója a becsült Euler-egyenletben: c_t = h/(1+h)·c_{t-1} + …</t>
        </is>
      </c>
      <c r="G5" s="7" t="inlineStr">
        <is>
          <t>Negyedéves reálfogyasztás idősor.</t>
        </is>
      </c>
      <c r="H5" s="7" t="inlineStr">
        <is>
          <t>0,5–0,8 (JV 0,646)</t>
        </is>
      </c>
      <c r="I5" s="7" t="inlineStr">
        <is>
          <t>NEM — a projekt nem futtat Bayes-i becslést; a készlet együttesen becsült.</t>
        </is>
      </c>
      <c r="J5" s="7" t="inlineStr">
        <is>
          <t>Teljes újrabecslés mai magyar mintán (önálló kutatási projekt, nem fér a decemberi leadásba).</t>
        </is>
      </c>
      <c r="K5" s="7" t="inlineStr">
        <is>
          <t>IGEN — konvencionális sáv.</t>
        </is>
      </c>
      <c r="L5" s="7" t="n">
        <v>0.646</v>
      </c>
      <c r="M5" s="7" t="inlineStr">
        <is>
          <t>C</t>
        </is>
      </c>
      <c r="N5" s="7" t="inlineStr">
        <is>
          <t>horgonyzott</t>
        </is>
      </c>
      <c r="O5" s="7" t="inlineStr">
        <is>
          <t>aktív</t>
        </is>
      </c>
      <c r="P5" s="7" t="inlineStr"/>
    </row>
    <row r="6">
      <c r="A6" s="7" t="inlineStr">
        <is>
          <t>fii</t>
        </is>
      </c>
      <c r="B6" s="7" t="inlineStr">
        <is>
          <t>Inverz Frisch-rugalmasság</t>
        </is>
      </c>
      <c r="C6" s="7" t="inlineStr">
        <is>
          <t>A munkakínálati görbület a bér-Phillips-görbében.</t>
        </is>
      </c>
      <c r="D6" s="7" t="inlineStr">
        <is>
          <t>Megszabja, mennyire reagál a ledolgozott óraszám a reálbérre.</t>
        </is>
      </c>
      <c r="E6" s="7" t="inlineStr">
        <is>
          <t>A munkapiaci alkalmazkodás sebessége; a lam_w meredekségén át az inflációs dinamika.</t>
        </is>
      </c>
      <c r="F6" s="7" t="inlineStr">
        <is>
          <t>Munkakínálati egyenlet: w_t = fii·l_t + sigma·c_t. A fii a bér–munka regresszió meredeksége.</t>
        </is>
      </c>
      <c r="G6" s="7" t="inlineStr">
        <is>
          <t>Negyedéves ledolgozott óra + reálbér.</t>
        </is>
      </c>
      <c r="H6" s="7" t="inlineStr">
        <is>
          <t>1,0–5,0 (makro 2–5; mikro 0,5–1)</t>
        </is>
      </c>
      <c r="I6" s="7" t="inlineStr">
        <is>
          <t>NEM — a projekt nem futtat Bayes-i becslést; a készlet együttesen becsült.</t>
        </is>
      </c>
      <c r="J6" s="7" t="inlineStr">
        <is>
          <t>Teljes újrabecslés mai magyar mintán (önálló kutatási projekt, nem fér a decemberi leadásba).</t>
        </is>
      </c>
      <c r="K6" s="7" t="inlineStr">
        <is>
          <t>IGEN — de a makro/mikro szakadék ismert vita.</t>
        </is>
      </c>
      <c r="L6" s="7" t="n">
        <v>2</v>
      </c>
      <c r="M6" s="7" t="inlineStr">
        <is>
          <t>C</t>
        </is>
      </c>
      <c r="N6" s="7" t="inlineStr">
        <is>
          <t>horgonyzott</t>
        </is>
      </c>
      <c r="O6" s="7" t="inlineStr">
        <is>
          <t>aktív</t>
        </is>
      </c>
      <c r="P6" s="7" t="inlineStr"/>
    </row>
    <row r="7">
      <c r="A7" s="7" t="inlineStr">
        <is>
          <t>rho_kz</t>
        </is>
      </c>
      <c r="B7" s="7" t="inlineStr">
        <is>
          <t>Tőke-kompozit helyettesítés</t>
        </is>
      </c>
      <c r="C7" s="7" t="inlineStr">
        <is>
          <t>Helyettesítési rugalmasság a tényezőkeresletben (tőke).</t>
        </is>
      </c>
      <c r="D7" s="7" t="inlineStr">
        <is>
          <t>A tőkekereslet reakciója a relatív tényezőárakra.</t>
        </is>
      </c>
      <c r="E7" s="7" t="inlineStr">
        <is>
          <t>🟡 Közös minden típusra, de a típusonként eltérő zeta_j hatását alakítja.</t>
        </is>
      </c>
      <c r="F7" s="7" t="inlineStr">
        <is>
          <t>CES tényezőkeresletből: a tényezőarány log-változása / a relatív ár log-változása.</t>
        </is>
      </c>
      <c r="G7" s="7" t="inlineStr">
        <is>
          <t>Ágazati tényezőár- és tényezőmennyiség-idősor.</t>
        </is>
      </c>
      <c r="H7" s="7" t="inlineStr">
        <is>
          <t>0,5–1,0 (Cobb–Douglas = 1)</t>
        </is>
      </c>
      <c r="I7" s="7" t="inlineStr">
        <is>
          <t>NEM — a projekt nem futtat Bayes-i becslést; a készlet együttesen becsült.</t>
        </is>
      </c>
      <c r="J7" s="7" t="inlineStr">
        <is>
          <t>Teljes újrabecslés mai magyar mintán (önálló kutatási projekt, nem fér a decemberi leadásba).</t>
        </is>
      </c>
      <c r="K7" s="7" t="inlineStr">
        <is>
          <t>IGEN.</t>
        </is>
      </c>
      <c r="L7" s="7" t="n">
        <v>0.8</v>
      </c>
      <c r="M7" s="7" t="inlineStr">
        <is>
          <t>C</t>
        </is>
      </c>
      <c r="N7" s="7" t="inlineStr">
        <is>
          <t>horgonyzott</t>
        </is>
      </c>
      <c r="O7" s="7" t="inlineStr">
        <is>
          <t>aktív</t>
        </is>
      </c>
      <c r="P7" s="7" t="inlineStr"/>
    </row>
    <row r="8">
      <c r="A8" s="7" t="inlineStr">
        <is>
          <t>rho_z</t>
        </is>
      </c>
      <c r="B8" s="7" t="inlineStr">
        <is>
          <t>Munka–import helyettesítés</t>
        </is>
      </c>
      <c r="C8" s="7" t="inlineStr">
        <is>
          <t>Helyettesítési rugalmasság a munka és az import között.</t>
        </is>
      </c>
      <c r="D8" s="7" t="inlineStr">
        <is>
          <t>Az import és a munka közti szubsztitúció a kompozitban.</t>
        </is>
      </c>
      <c r="E8" s="7" t="inlineStr">
        <is>
          <t>🟡 Közös, de az eltérő aa_j hatását alakítja.</t>
        </is>
      </c>
      <c r="F8" s="7" t="inlineStr">
        <is>
          <t>Mint a rho_kz, a munka–import arányra.</t>
        </is>
      </c>
      <c r="G8" s="7" t="inlineStr">
        <is>
          <t>Bér- és importár-idősor + mennyiségek.</t>
        </is>
      </c>
      <c r="H8" s="7" t="inlineStr">
        <is>
          <t>0,3–1,0</t>
        </is>
      </c>
      <c r="I8" s="7" t="inlineStr">
        <is>
          <t>NEM — a projekt nem futtat Bayes-i becslést; a készlet együttesen becsült.</t>
        </is>
      </c>
      <c r="J8" s="7" t="inlineStr">
        <is>
          <t>Teljes újrabecslés mai magyar mintán (önálló kutatási projekt, nem fér a decemberi leadásba).</t>
        </is>
      </c>
      <c r="K8" s="7" t="inlineStr">
        <is>
          <t>IGEN.</t>
        </is>
      </c>
      <c r="L8" s="7" t="n">
        <v>0.5</v>
      </c>
      <c r="M8" s="7" t="inlineStr">
        <is>
          <t>C</t>
        </is>
      </c>
      <c r="N8" s="7" t="inlineStr">
        <is>
          <t>horgonyzott</t>
        </is>
      </c>
      <c r="O8" s="7" t="inlineStr">
        <is>
          <t>aktív</t>
        </is>
      </c>
      <c r="P8" s="7" t="inlineStr"/>
    </row>
    <row r="9">
      <c r="A9" s="7" t="inlineStr">
        <is>
          <t>xi_p</t>
        </is>
      </c>
      <c r="B9" s="7" t="inlineStr">
        <is>
          <t>Calvo ár-ragadósság</t>
        </is>
      </c>
      <c r="C9" s="7" t="inlineStr">
        <is>
          <t>Annak valószínűsége, hogy egy cég egy negyedévben NEM változtat árat.</t>
        </is>
      </c>
      <c r="D9" s="7" t="inlineStr">
        <is>
          <t>Az ár-Phillips-görbe meredekségét (lam_p) állítja elő.</t>
        </is>
      </c>
      <c r="E9" s="7" t="inlineStr">
        <is>
          <t>Az infláció perzisztenciája és a reálhatás nagysága. Mindhárom típus ugyanazt kapja, de eltérő mc_j mellett relatívár-különbséget formál.</t>
        </is>
      </c>
      <c r="F9" s="7" t="inlineStr">
        <is>
          <t>lam_p = (1−xi_p)(1−beta·xi_p)/xi_p. MIKROADATBÓL KÖZVETLENÜL: az átlagos árváltoztatási gyakoriság = 1/(1−xi_p) negyedév.</t>
        </is>
      </c>
      <c r="G9" s="7" t="inlineStr">
        <is>
          <t>Fogyasztói/termelői ár-mikroadat (egyedi árjegyzések gyakorisága).</t>
        </is>
      </c>
      <c r="H9" s="7" t="inlineStr">
        <is>
          <t>0,66–0,92 makróbecslés; MIKROADAT 0,4–0,7 (gyakoribb árváltoztatás). ⚠ A JV 0,921 ≈ 12,7 negyedév — a mikroadat ezt ritkán támasztja alá.</t>
        </is>
      </c>
      <c r="I9" s="7" t="inlineStr">
        <is>
          <t>NEM.</t>
        </is>
      </c>
      <c r="J9" s="7" t="inlineStr">
        <is>
          <t>MNB/KSH ár-mikroadat (árjegyzés-szintű gyakoriság).</t>
        </is>
      </c>
      <c r="K9" s="7" t="inlineStr">
        <is>
          <t>IGEN, de ⚠ a makro- és mikrobecslés szisztematikusan eltér.</t>
        </is>
      </c>
      <c r="L9" s="7" t="n">
        <v>0.921</v>
      </c>
      <c r="M9" s="7" t="inlineStr">
        <is>
          <t>C</t>
        </is>
      </c>
      <c r="N9" s="7" t="inlineStr">
        <is>
          <t>horgonyzott</t>
        </is>
      </c>
      <c r="O9" s="7" t="inlineStr">
        <is>
          <t>aktív</t>
        </is>
      </c>
      <c r="P9" s="7" t="inlineStr"/>
    </row>
    <row r="10">
      <c r="A10" s="7" t="inlineStr">
        <is>
          <t>vth_p</t>
        </is>
      </c>
      <c r="B10" s="7" t="inlineStr">
        <is>
          <t>Ár-indexáció</t>
        </is>
      </c>
      <c r="C10" s="7" t="inlineStr">
        <is>
          <t>A múltbeli inflációhoz való automatikus igazítás súlya.</t>
        </is>
      </c>
      <c r="D10" s="7" t="inlineStr">
        <is>
          <t>Backward-looking tagot ad a Phillips-görbének.</t>
        </is>
      </c>
      <c r="E10" s="7" t="inlineStr">
        <is>
          <t>Az infláció tehetetlensége. Nem típus-specifikus.</t>
        </is>
      </c>
      <c r="F10" s="7" t="inlineStr">
        <is>
          <t>A Phillips-görbe múltbeli inflációs tagjának együtthatója: vth_p/(1+beta·vth_p).</t>
        </is>
      </c>
      <c r="G10" s="7" t="inlineStr">
        <is>
          <t>Negyedéves inflációs idősor.</t>
        </is>
      </c>
      <c r="H10" s="7" t="inlineStr">
        <is>
          <t>0,0–0,5 (JV 0,431)</t>
        </is>
      </c>
      <c r="I10" s="7" t="inlineStr">
        <is>
          <t>NEM — a projekt nem futtat Bayes-i becslést; a készlet együttesen becsült.</t>
        </is>
      </c>
      <c r="J10" s="7" t="inlineStr">
        <is>
          <t>Teljes újrabecslés mai magyar mintán (önálló kutatási projekt, nem fér a decemberi leadásba).</t>
        </is>
      </c>
      <c r="K10" s="7" t="inlineStr">
        <is>
          <t>IGEN.</t>
        </is>
      </c>
      <c r="L10" s="7" t="n">
        <v>0.431</v>
      </c>
      <c r="M10" s="7" t="inlineStr">
        <is>
          <t>C</t>
        </is>
      </c>
      <c r="N10" s="7" t="inlineStr">
        <is>
          <t>horgonyzott</t>
        </is>
      </c>
      <c r="O10" s="7" t="inlineStr">
        <is>
          <t>aktív</t>
        </is>
      </c>
      <c r="P10" s="7" t="inlineStr"/>
    </row>
    <row r="11">
      <c r="A11" s="7" t="inlineStr">
        <is>
          <t>xi_x</t>
        </is>
      </c>
      <c r="B11" s="7" t="inlineStr">
        <is>
          <t>Calvo export-ár ragadósság ⚫ HALOTT</t>
        </is>
      </c>
      <c r="C11" s="7" t="inlineStr">
        <is>
          <t>Örökölt exportár-merevségi paraméter.</t>
        </is>
      </c>
      <c r="D11" s="7" t="inlineStr">
        <is>
          <t>⚫ A v09 model blokkjában NEM SZEREPEL — csak a szintén halott lam_x-et számolja.</t>
        </is>
      </c>
      <c r="E11" s="7" t="inlineStr">
        <is>
          <t>SEMMIRE. Ha valaki bekötné, a t54 őr elbukik.</t>
        </is>
      </c>
      <c r="F11" s="7" t="inlineStr">
        <is>
          <t>lam_x = (1−xi_x)(1−beta·xi_x)/xi_x — kiszámolódik, de sehol nem használt.</t>
        </is>
      </c>
      <c r="G11" s="7" t="inlineStr">
        <is>
          <t>—</t>
        </is>
      </c>
      <c r="H11" s="7" t="inlineStr">
        <is>
          <t>0,66–0,92 (elvben)</t>
        </is>
      </c>
      <c r="I11" s="7" t="inlineStr">
        <is>
          <t>TÁRGYTALAN — halott paraméter.</t>
        </is>
      </c>
      <c r="J11" s="7" t="inlineStr">
        <is>
          <t>Előbb el kell dönteni, kell-e külön exportár-Phillips-görbe a v09-be.</t>
        </is>
      </c>
      <c r="K11" s="7" t="inlineStr">
        <is>
          <t>TÁRGYTALAN.</t>
        </is>
      </c>
      <c r="L11" s="7" t="n">
        <v>0.8100000000000001</v>
      </c>
      <c r="M11" s="7" t="inlineStr">
        <is>
          <t>C</t>
        </is>
      </c>
      <c r="N11" s="7" t="inlineStr">
        <is>
          <t>horgonyzott</t>
        </is>
      </c>
      <c r="O11" s="7" t="inlineStr">
        <is>
          <t>HALOTT — a v09 model blokkjában nem szerepel</t>
        </is>
      </c>
      <c r="P11" s="7" t="inlineStr"/>
    </row>
    <row r="12">
      <c r="A12" s="7" t="inlineStr">
        <is>
          <t>vth_x</t>
        </is>
      </c>
      <c r="B12" s="7" t="inlineStr">
        <is>
          <t>Export-ár indexáció ⚫ HALOTT</t>
        </is>
      </c>
      <c r="C12" s="7" t="inlineStr">
        <is>
          <t>Örökölt exportár-indexációs paraméter.</t>
        </is>
      </c>
      <c r="D12" s="7" t="inlineStr">
        <is>
          <t>⚫ A v09-ben SEHOL nem szerepel.</t>
        </is>
      </c>
      <c r="E12" s="7" t="inlineStr">
        <is>
          <t>SEMMIRE.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0,0–0,5 (elvben)</t>
        </is>
      </c>
      <c r="I12" s="7" t="inlineStr">
        <is>
          <t>TÁRGYTALAN — halott paraméter.</t>
        </is>
      </c>
      <c r="J12" s="7" t="inlineStr">
        <is>
          <t>Lásd xi_x.</t>
        </is>
      </c>
      <c r="K12" s="7" t="inlineStr">
        <is>
          <t>TÁRGYTALAN.</t>
        </is>
      </c>
      <c r="L12" s="7" t="n">
        <v>0.494</v>
      </c>
      <c r="M12" s="7" t="inlineStr">
        <is>
          <t>C</t>
        </is>
      </c>
      <c r="N12" s="7" t="inlineStr">
        <is>
          <t>horgonyzott</t>
        </is>
      </c>
      <c r="O12" s="7" t="inlineStr">
        <is>
          <t>HALOTT — a v09 model blokkjában nem szerepel</t>
        </is>
      </c>
      <c r="P12" s="7" t="inlineStr"/>
    </row>
    <row r="13">
      <c r="A13" s="7" t="inlineStr">
        <is>
          <t>xi_w</t>
        </is>
      </c>
      <c r="B13" s="7" t="inlineStr">
        <is>
          <t>Calvo bér-ragadósság</t>
        </is>
      </c>
      <c r="C13" s="7" t="inlineStr">
        <is>
          <t>Annak valószínűsége, hogy egy negyedévben nem alkalmazkodik a bér.</t>
        </is>
      </c>
      <c r="D13" s="7" t="inlineStr">
        <is>
          <t>A bér-Phillips-görbe meredekségét (lam_w) állítja elő.</t>
        </is>
      </c>
      <c r="E13" s="7" t="inlineStr">
        <is>
          <t>A reálbér alkalmazkodásának sebessége, közvetve a foglalkoztatás és a határköltség.</t>
        </is>
      </c>
      <c r="F13" s="7" t="inlineStr">
        <is>
          <t>lam_w = (1−xi_w)(1−beta·xi_w)/(xi_w·(1+theta_w·fii)). Mikroadatból: az átlagos bérváltoztatási gyakoriság.</t>
        </is>
      </c>
      <c r="G13" s="7" t="inlineStr">
        <is>
          <t>Cégszintű vagy egyéni bér-mikroadat.</t>
        </is>
      </c>
      <c r="H13" s="7" t="inlineStr">
        <is>
          <t>0,6–0,85 (JV 0,657). ⚠ Saját mérésünk (A21) GYENGE nominális merevséget talált 2023–24-ben: a cégek 10,1%-a CSÖKKENTETTE a nominálbért.</t>
        </is>
      </c>
      <c r="I13" s="7" t="inlineStr">
        <is>
          <t>RÉSZBEN — az Opten-panel bérdinamikát ad, de csak egy év-pár (2023/24) és magas inflációs környezetben.</t>
        </is>
      </c>
      <c r="J13" s="7" t="inlineStr">
        <is>
          <t>Hosszabb cégszintű bérpanel, normál inflációs időszakot is lefedve.</t>
        </is>
      </c>
      <c r="K13" s="7" t="inlineStr">
        <is>
          <t>IGEN, de ⚠ a saját magyar adat feszültségben van vele (A21).</t>
        </is>
      </c>
      <c r="L13" s="7" t="n">
        <v>0.657</v>
      </c>
      <c r="M13" s="7" t="inlineStr">
        <is>
          <t>C</t>
        </is>
      </c>
      <c r="N13" s="7" t="inlineStr">
        <is>
          <t>horgonyzott</t>
        </is>
      </c>
      <c r="O13" s="7" t="inlineStr">
        <is>
          <t>aktív</t>
        </is>
      </c>
      <c r="P13" s="7" t="inlineStr"/>
    </row>
    <row r="14">
      <c r="A14" s="7" t="inlineStr">
        <is>
          <t>vth_w</t>
        </is>
      </c>
      <c r="B14" s="7" t="inlineStr">
        <is>
          <t>Bér-indexáció</t>
        </is>
      </c>
      <c r="C14" s="7" t="inlineStr">
        <is>
          <t>A múltbeli inflációhoz igazodó automatikus béremelés súlya.</t>
        </is>
      </c>
      <c r="D14" s="7" t="inlineStr">
        <is>
          <t>Backward-looking tag a bér-Phillips-görbében.</t>
        </is>
      </c>
      <c r="E14" s="7" t="inlineStr">
        <is>
          <t>A bérinfláció tehetetlensége.</t>
        </is>
      </c>
      <c r="F14" s="7" t="inlineStr">
        <is>
          <t>A bér-egyenlet múltbeli inflációs együtthatója.</t>
        </is>
      </c>
      <c r="G14" s="7" t="inlineStr">
        <is>
          <t>Bér- és inflációs idősor.</t>
        </is>
      </c>
      <c r="H14" s="7" t="inlineStr">
        <is>
          <t>0,0–0,5 (JV 0,185)</t>
        </is>
      </c>
      <c r="I14" s="7" t="inlineStr">
        <is>
          <t>NEM — a projekt nem futtat Bayes-i becslést; a készlet együttesen becsült.</t>
        </is>
      </c>
      <c r="J14" s="7" t="inlineStr">
        <is>
          <t>Teljes újrabecslés mai magyar mintán (önálló kutatási projekt, nem fér a decemberi leadásba).</t>
        </is>
      </c>
      <c r="K14" s="7" t="inlineStr">
        <is>
          <t>IGEN.</t>
        </is>
      </c>
      <c r="L14" s="7" t="n">
        <v>0.185</v>
      </c>
      <c r="M14" s="7" t="inlineStr">
        <is>
          <t>C</t>
        </is>
      </c>
      <c r="N14" s="7" t="inlineStr">
        <is>
          <t>horgonyzott</t>
        </is>
      </c>
      <c r="O14" s="7" t="inlineStr">
        <is>
          <t>aktív</t>
        </is>
      </c>
      <c r="P14" s="7" t="inlineStr"/>
    </row>
    <row r="15">
      <c r="A15" s="7" t="inlineStr">
        <is>
          <t>theta_w</t>
        </is>
      </c>
      <c r="B15" s="7" t="inlineStr">
        <is>
          <t>Bérmarkup-rugalmasság</t>
        </is>
      </c>
      <c r="C15" s="7" t="inlineStr">
        <is>
          <t>A munkatípusok közti helyettesítési rugalmasság.</t>
        </is>
      </c>
      <c r="D15" s="7" t="inlineStr">
        <is>
          <t>A bérfelárat és a lam_w meredekségét szabja.</t>
        </is>
      </c>
      <c r="E15" s="7" t="inlineStr">
        <is>
          <t>A bér-Phillips-görbe meredeksége. Nem típus-specifikus.</t>
        </is>
      </c>
      <c r="F15" s="7" t="inlineStr">
        <is>
          <t>theta_w = 1/(bérmarkup − 1); pl. 25%-os bérfelár → theta_w ≈ 4. A lam_w inputja.</t>
        </is>
      </c>
      <c r="G15" s="7" t="inlineStr">
        <is>
          <t>Bérfelár-becslés vagy irodalmi konvenció.</t>
        </is>
      </c>
      <c r="H15" s="7" t="inlineStr">
        <is>
          <t>3,0–6,0 (20–50% bérfelár)</t>
        </is>
      </c>
      <c r="I15" s="7" t="inlineStr">
        <is>
          <t>NEM — a projekt nem futtat Bayes-i becslést; a készlet együttesen becsült.</t>
        </is>
      </c>
      <c r="J15" s="7" t="inlineStr">
        <is>
          <t>Teljes újrabecslés mai magyar mintán (önálló kutatási projekt, nem fér a decemberi leadásba).</t>
        </is>
      </c>
      <c r="K15" s="7" t="inlineStr">
        <is>
          <t>IGEN — tipikus konvenció.</t>
        </is>
      </c>
      <c r="L15" s="7" t="n">
        <v>3</v>
      </c>
      <c r="M15" s="7" t="inlineStr">
        <is>
          <t>C</t>
        </is>
      </c>
      <c r="N15" s="7" t="inlineStr">
        <is>
          <t>horgonyzott</t>
        </is>
      </c>
      <c r="O15" s="7" t="inlineStr">
        <is>
          <t>aktív</t>
        </is>
      </c>
      <c r="P15" s="7" t="inlineStr"/>
    </row>
    <row r="16">
      <c r="A16" s="7" t="inlineStr">
        <is>
          <t>lam_p</t>
        </is>
      </c>
      <c r="B16" s="7" t="inlineStr">
        <is>
          <t>Ár-Phillips-görbe meredeksége</t>
        </is>
      </c>
      <c r="C16" s="7" t="inlineStr">
        <is>
          <t>SZÁRMAZTATOTT — nem szabad paraméter, más paraméterekből számolódik.</t>
        </is>
      </c>
      <c r="D16" s="7" t="inlineStr">
        <is>
          <t>A határköltség hatása az inflációra.</t>
        </is>
      </c>
      <c r="E16" s="7" t="inlineStr">
        <is>
          <t>🟡 Aktív és valóban származtatott.</t>
        </is>
      </c>
      <c r="F16" s="7" t="inlineStr">
        <is>
          <t>lam_p = (1−xi_p)(1−beta·xi_p)/xi_p</t>
        </is>
      </c>
      <c r="G16" s="7" t="inlineStr">
        <is>
          <t>— (az xi_p és beta örökölt bizonytalansága)</t>
        </is>
      </c>
      <c r="H16" s="7" t="inlineStr">
        <is>
          <t>—</t>
        </is>
      </c>
      <c r="I16" s="7" t="inlineStr">
        <is>
          <t>SZÁRMAZTATOTT.</t>
        </is>
      </c>
      <c r="J16" s="7" t="inlineStr">
        <is>
          <t>—</t>
        </is>
      </c>
      <c r="K16" s="7" t="inlineStr">
        <is>
          <t>—</t>
        </is>
      </c>
      <c r="L16" s="7" t="n">
        <v>0.0075663300760043</v>
      </c>
      <c r="M16" s="7" t="inlineStr">
        <is>
          <t>E</t>
        </is>
      </c>
      <c r="N16" s="7" t="inlineStr">
        <is>
          <t>származtatott</t>
        </is>
      </c>
      <c r="O16" s="7" t="inlineStr">
        <is>
          <t>örökölt: xi_p (JV) + beta</t>
        </is>
      </c>
      <c r="P16" s="7" t="inlineStr"/>
    </row>
    <row r="17">
      <c r="A17" s="7" t="inlineStr">
        <is>
          <t>lam_x</t>
        </is>
      </c>
      <c r="B17" s="7" t="inlineStr">
        <is>
          <t>Export-Phillips meredekség ⚫ HALOTT</t>
        </is>
      </c>
      <c r="C17" s="7" t="inlineStr">
        <is>
          <t>SZÁRMAZTATOTT — nem szabad paraméter, más paraméterekből számolódik.</t>
        </is>
      </c>
      <c r="D17" s="7" t="inlineStr">
        <is>
          <t>⚫ Kiszámolódik, de a v09 model blokkjában NEM szerepel.</t>
        </is>
      </c>
      <c r="E17" s="7" t="inlineStr">
        <is>
          <t>SEMMIRE.</t>
        </is>
      </c>
      <c r="F17" s="7" t="inlineStr">
        <is>
          <t>lam_x = (1−xi_x)(1−beta·xi_x)/xi_x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TÁRGYTALAN.</t>
        </is>
      </c>
      <c r="J17" s="7" t="inlineStr">
        <is>
          <t>—</t>
        </is>
      </c>
      <c r="K17" s="7" t="inlineStr">
        <is>
          <t>—</t>
        </is>
      </c>
      <c r="L17" s="7" t="n">
        <v>0.0464679012345679</v>
      </c>
      <c r="M17" s="7" t="inlineStr">
        <is>
          <t>E</t>
        </is>
      </c>
      <c r="N17" s="7" t="inlineStr">
        <is>
          <t>származtatott</t>
        </is>
      </c>
      <c r="O17" s="7" t="inlineStr">
        <is>
          <t>HALOTT — a v09 model blokkjában nem szerepel</t>
        </is>
      </c>
      <c r="P17" s="7" t="inlineStr"/>
    </row>
    <row r="18">
      <c r="A18" s="7" t="inlineStr">
        <is>
          <t>lam_w</t>
        </is>
      </c>
      <c r="B18" s="7" t="inlineStr">
        <is>
          <t>Bér-Phillips-görbe meredeksége</t>
        </is>
      </c>
      <c r="C18" s="7" t="inlineStr">
        <is>
          <t>SZÁRMAZTATOTT — nem szabad paraméter, más paraméterekből számolódik.</t>
        </is>
      </c>
      <c r="D18" s="7" t="inlineStr">
        <is>
          <t>A bérrés hatása a bérinflációra.</t>
        </is>
      </c>
      <c r="E18" s="7" t="inlineStr">
        <is>
          <t>⚪/🟡 Aktív és származtatott.</t>
        </is>
      </c>
      <c r="F18" s="7" t="inlineStr">
        <is>
          <t>lam_w = (1−xi_w)(1−beta·xi_w)/(xi_w·(1+theta_w·fii))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SZÁRMAZTATOTT.</t>
        </is>
      </c>
      <c r="J18" s="7" t="inlineStr">
        <is>
          <t>—</t>
        </is>
      </c>
      <c r="K18" s="7" t="inlineStr">
        <is>
          <t>—</t>
        </is>
      </c>
      <c r="L18" s="7" t="n">
        <v>0.0260714307458143</v>
      </c>
      <c r="M18" s="7" t="inlineStr">
        <is>
          <t>E</t>
        </is>
      </c>
      <c r="N18" s="7" t="inlineStr">
        <is>
          <t>származtatott</t>
        </is>
      </c>
      <c r="O18" s="7" t="inlineStr">
        <is>
          <t>örökölt: xi_w, theta_w, fii (JV) + beta</t>
        </is>
      </c>
      <c r="P18" s="7" t="inlineStr"/>
    </row>
    <row r="19">
      <c r="A19" s="7" t="inlineStr">
        <is>
          <t>hx</t>
        </is>
      </c>
      <c r="B19" s="7" t="inlineStr">
        <is>
          <t>Exportkereslet perzisztenciája</t>
        </is>
      </c>
      <c r="C19" s="7" t="inlineStr">
        <is>
          <t>A külpiaci kereslet tehetetlensége.</t>
        </is>
      </c>
      <c r="D19" s="7" t="inlineStr">
        <is>
          <t>x_j = hx·x_j(−1) + (1−hx)·(−mu_x·(p_j − rer)).</t>
        </is>
      </c>
      <c r="E19" s="7" t="inlineStr">
        <is>
          <t>🟡 Közös, de az eltérő phi_j és p_j miatt a típuseltérést ERŐSÍTHETI.</t>
        </is>
      </c>
      <c r="F19" s="7" t="inlineStr">
        <is>
          <t>Az exportegyenlet AR(1) együtthatója.</t>
        </is>
      </c>
      <c r="G19" s="7" t="inlineStr">
        <is>
          <t>Export- és reálárfolyam-idősor.</t>
        </is>
      </c>
      <c r="H19" s="7" t="inlineStr">
        <is>
          <t>0,4–0,8 (JV 0,507)</t>
        </is>
      </c>
      <c r="I19" s="7" t="inlineStr">
        <is>
          <t>NEM — a projekt nem futtat Bayes-i becslést; a készlet együttesen becsült.</t>
        </is>
      </c>
      <c r="J19" s="7" t="inlineStr">
        <is>
          <t>Teljes újrabecslés mai magyar mintán (önálló kutatási projekt, nem fér a decemberi leadásba).</t>
        </is>
      </c>
      <c r="K19" s="7" t="inlineStr">
        <is>
          <t>IGEN.</t>
        </is>
      </c>
      <c r="L19" s="7" t="n">
        <v>0.507</v>
      </c>
      <c r="M19" s="7" t="inlineStr">
        <is>
          <t>C</t>
        </is>
      </c>
      <c r="N19" s="7" t="inlineStr">
        <is>
          <t>horgonyzott</t>
        </is>
      </c>
      <c r="O19" s="7" t="inlineStr">
        <is>
          <t>aktív</t>
        </is>
      </c>
      <c r="P19" s="7" t="inlineStr"/>
    </row>
    <row r="20">
      <c r="A20" s="7" t="inlineStr">
        <is>
          <t>mu_x</t>
        </is>
      </c>
      <c r="B20" s="7" t="inlineStr">
        <is>
          <t>Exportkereslet ár-rugalmassága</t>
        </is>
      </c>
      <c r="C20" s="7" t="inlineStr">
        <is>
          <t>Az export reakciója a relatív árra.</t>
        </is>
      </c>
      <c r="D20" s="7" t="inlineStr">
        <is>
          <t>Ugyanabban az exportegyenletben.</t>
        </is>
      </c>
      <c r="E20" s="7" t="inlineStr">
        <is>
          <t>🟡 Közös, de a típusonként eltérő exportkitettségen át differenciál.</t>
        </is>
      </c>
      <c r="F20" s="7" t="inlineStr">
        <is>
          <t>Az exportegyenlet relatívár-együtthatója (Armington-rugalmasság).</t>
        </is>
      </c>
      <c r="G20" s="7" t="inlineStr">
        <is>
          <t>Export, exportár, reálárfolyam idősor.</t>
        </is>
      </c>
      <c r="H20" s="7" t="inlineStr">
        <is>
          <t>0,5–2,0 (Armington-becslések; JV 0,534)</t>
        </is>
      </c>
      <c r="I20" s="7" t="inlineStr">
        <is>
          <t>NEM — a projekt nem futtat Bayes-i becslést; a készlet együttesen becsült.</t>
        </is>
      </c>
      <c r="J20" s="7" t="inlineStr">
        <is>
          <t>Teljes újrabecslés mai magyar mintán (önálló kutatási projekt, nem fér a decemberi leadásba).</t>
        </is>
      </c>
      <c r="K20" s="7" t="inlineStr">
        <is>
          <t>IGEN.</t>
        </is>
      </c>
      <c r="L20" s="7" t="n">
        <v>0.534</v>
      </c>
      <c r="M20" s="7" t="inlineStr">
        <is>
          <t>C</t>
        </is>
      </c>
      <c r="N20" s="7" t="inlineStr">
        <is>
          <t>horgonyzott</t>
        </is>
      </c>
      <c r="O20" s="7" t="inlineStr">
        <is>
          <t>aktív</t>
        </is>
      </c>
      <c r="P20" s="7" t="inlineStr"/>
    </row>
    <row r="21">
      <c r="A21" s="7" t="inlineStr">
        <is>
          <t>gam_i</t>
        </is>
      </c>
      <c r="B21" s="7" t="inlineStr">
        <is>
          <t>Kamatsimítás</t>
        </is>
      </c>
      <c r="C21" s="7" t="inlineStr">
        <is>
          <t>A jegybanki alapkamat AR(1) tagja a Taylor-szabályban.</t>
        </is>
      </c>
      <c r="D21" s="7" t="inlineStr">
        <is>
          <t>Fokozatossá teszi a kamatpálya-alkalmazkodást.</t>
        </is>
      </c>
      <c r="E21" s="7" t="inlineStr">
        <is>
          <t>A monetáris transzmisszió időzítése a LEBEGŐ rezsimben. Az euró-rezsimben (uni=1) kikapcsol.</t>
        </is>
      </c>
      <c r="F21" s="7" t="inlineStr">
        <is>
          <t>Taylor-szabály becslése: r_t = gam_i·r_{t-1} + (1−gam_i)·phi_pi·pi_t + …</t>
        </is>
      </c>
      <c r="G21" s="7" t="inlineStr">
        <is>
          <t>Alapkamat + infláció negyedéves idősor.</t>
        </is>
      </c>
      <c r="H21" s="7" t="inlineStr">
        <is>
          <t>0,7–0,9 (JV 0,761)</t>
        </is>
      </c>
      <c r="I21" s="7" t="inlineStr">
        <is>
          <t>NEM — a projekt nem futtat Bayes-i becslést; a készlet együttesen becsült.</t>
        </is>
      </c>
      <c r="J21" s="7" t="inlineStr">
        <is>
          <t>Teljes újrabecslés mai magyar mintán (önálló kutatási projekt, nem fér a decemberi leadásba).</t>
        </is>
      </c>
      <c r="K21" s="7" t="inlineStr">
        <is>
          <t>IGEN.</t>
        </is>
      </c>
      <c r="L21" s="7" t="n">
        <v>0.761</v>
      </c>
      <c r="M21" s="7" t="inlineStr">
        <is>
          <t>C</t>
        </is>
      </c>
      <c r="N21" s="7" t="inlineStr">
        <is>
          <t>horgonyzott</t>
        </is>
      </c>
      <c r="O21" s="7" t="inlineStr">
        <is>
          <t>aktív</t>
        </is>
      </c>
      <c r="P21" s="7" t="inlineStr"/>
    </row>
    <row r="22">
      <c r="A22" s="7" t="inlineStr">
        <is>
          <t>phi_pi</t>
        </is>
      </c>
      <c r="B22" s="7" t="inlineStr">
        <is>
          <t>Taylor inflációs együttható</t>
        </is>
      </c>
      <c r="C22" s="7" t="inlineStr">
        <is>
          <t>A jegybank reakciója az inflációs eltérésre.</t>
        </is>
      </c>
      <c r="D22" s="7" t="inlineStr">
        <is>
          <t>A Taylor-elv teljesülését biztosítja (&gt;1), ami a determinációhoz kell.</t>
        </is>
      </c>
      <c r="E22" s="7" t="inlineStr">
        <is>
          <t>A nominális horgony a lebegő rezsimben. Az euró-rezsimben kikapcsol.</t>
        </is>
      </c>
      <c r="F22" s="7" t="inlineStr">
        <is>
          <t>Ugyanabból a Taylor-regresszióból, mint a gam_i.</t>
        </is>
      </c>
      <c r="G22" s="7" t="inlineStr">
        <is>
          <t>Alapkamat + infláció.</t>
        </is>
      </c>
      <c r="H22" s="7" t="inlineStr">
        <is>
          <t>1,2–2,0 (Taylor eredeti 1,5; JV 1,379). ⚠ &gt;1 KÖTELEZŐ a determinációhoz.</t>
        </is>
      </c>
      <c r="I22" s="7" t="inlineStr">
        <is>
          <t>NEM — a projekt nem futtat Bayes-i becslést; a készlet együttesen becsült.</t>
        </is>
      </c>
      <c r="J22" s="7" t="inlineStr">
        <is>
          <t>Teljes újrabecslés mai magyar mintán (önálló kutatási projekt, nem fér a decemberi leadásba).</t>
        </is>
      </c>
      <c r="K22" s="7" t="inlineStr">
        <is>
          <t>IGEN.</t>
        </is>
      </c>
      <c r="L22" s="7" t="n">
        <v>1.379</v>
      </c>
      <c r="M22" s="7" t="inlineStr">
        <is>
          <t>C</t>
        </is>
      </c>
      <c r="N22" s="7" t="inlineStr">
        <is>
          <t>horgonyzott</t>
        </is>
      </c>
      <c r="O22" s="7" t="inlineStr">
        <is>
          <t>aktív</t>
        </is>
      </c>
      <c r="P22" s="7" t="inlineStr"/>
    </row>
    <row r="23">
      <c r="A23" s="7" t="inlineStr">
        <is>
          <t>nu_b</t>
        </is>
      </c>
      <c r="B23" s="7" t="inlineStr">
        <is>
          <t>NFA-zárási paraméter</t>
        </is>
      </c>
      <c r="C23" s="7" t="inlineStr">
        <is>
          <t>Az adósságérzékeny kamatprémium meredeksége.</t>
        </is>
      </c>
      <c r="D23" s="7" t="inlineStr">
        <is>
          <t>Technikai: stacionáriussá teszi a nettó külföldi pozíciót egy kis nyitott gazdaságban.</t>
        </is>
      </c>
      <c r="E23" s="7" t="inlineStr">
        <is>
          <t>Nélküle a modell egységgyököt tartalmazna. Gazdaságilag kicsi hatás.</t>
        </is>
      </c>
      <c r="F23" s="7" t="inlineStr">
        <is>
          <t>Schmitt-Grohé–Uribe (2003) zárás: prémium = nu_b·(bstar − bstar_ss). Rendszerint NEM becsült, hanem kicsire állított.</t>
        </is>
      </c>
      <c r="G23" s="7" t="inlineStr">
        <is>
          <t>—</t>
        </is>
      </c>
      <c r="H23" s="7" t="inlineStr">
        <is>
          <t>0,0001–0,01 (technikai; minél kisebb, annál kevésbé torzít)</t>
        </is>
      </c>
      <c r="I23" s="7" t="inlineStr">
        <is>
          <t>⚠ KÉTÉRTELMŰ: a regiszter JV-poszteriorként vette át, a modellben viszont technikai zárásként működik. Tisztázandó.</t>
        </is>
      </c>
      <c r="J23" s="7" t="inlineStr">
        <is>
          <t>A pontos JV-tábla ellenőrzése: becsült érték vagy kalibrációs zárás?</t>
        </is>
      </c>
      <c r="K23" s="7" t="inlineStr">
        <is>
          <t>IGEN — technikai konvenció.</t>
        </is>
      </c>
      <c r="L23" s="7" t="n">
        <v>0.001</v>
      </c>
      <c r="M23" s="7" t="inlineStr">
        <is>
          <t>C</t>
        </is>
      </c>
      <c r="N23" s="7" t="inlineStr">
        <is>
          <t>feltételes</t>
        </is>
      </c>
      <c r="O23" s="7" t="inlineStr">
        <is>
          <t>aktív</t>
        </is>
      </c>
      <c r="P23" s="7" t="inlineStr"/>
    </row>
    <row r="24">
      <c r="A24" s="7" t="inlineStr">
        <is>
          <t>nu_uni</t>
        </is>
      </c>
      <c r="B24" s="7" t="inlineStr">
        <is>
          <t>Uniózárás</t>
        </is>
      </c>
      <c r="C24" s="7" t="inlineStr">
        <is>
          <t>NFA-zárás a monetáris uniós rezsim kamategyenletében.</t>
        </is>
      </c>
      <c r="D24" s="7" t="inlineStr">
        <is>
          <t>Ugyanaz, mint a nu_b, de az uni=1 ágon.</t>
        </is>
      </c>
      <c r="E24" s="7" t="inlineStr">
        <is>
          <t>A reálárfolyam és az NFA hosszú távú viselkedése az euró-rezsimben. ⚠ Egy korábbi hibás érték (0,01) +34,7%-os reálárfolyamot adott.</t>
        </is>
      </c>
      <c r="F24" s="7" t="inlineStr">
        <is>
          <t>Technikai kalibráció, nem becslés. Őrrel kezelendő.</t>
        </is>
      </c>
      <c r="G24" s="7" t="inlineStr">
        <is>
          <t>—</t>
        </is>
      </c>
      <c r="H24" s="7" t="inlineStr">
        <is>
          <t>0,01–0,5 (technikai)</t>
        </is>
      </c>
      <c r="I24" s="7" t="inlineStr">
        <is>
          <t>TÁRGYTALAN — technikai zárás.</t>
        </is>
      </c>
      <c r="J24" s="7" t="inlineStr">
        <is>
          <t>Érzékenységi scan (-DNUUNI), nem adat.</t>
        </is>
      </c>
      <c r="K24" s="7" t="inlineStr">
        <is>
          <t>IGEN — technikai konvenció.</t>
        </is>
      </c>
      <c r="L24" s="7" t="n">
        <v>0.25</v>
      </c>
      <c r="M24" s="7" t="inlineStr">
        <is>
          <t>E</t>
        </is>
      </c>
      <c r="N24" s="7" t="inlineStr">
        <is>
          <t>származtatott</t>
        </is>
      </c>
      <c r="O24" s="7" t="inlineStr">
        <is>
          <t>technikai uniózárás, nem strukturális becslés</t>
        </is>
      </c>
      <c r="P24" s="7" t="inlineStr">
        <is>
          <t>-DNUUNI</t>
        </is>
      </c>
    </row>
    <row r="25">
      <c r="A25" s="7" t="inlineStr">
        <is>
          <t>om_no</t>
        </is>
      </c>
      <c r="B25" s="7" t="inlineStr">
        <is>
          <t>Korlátozott háztartások aránya</t>
        </is>
      </c>
      <c r="C25" s="7" t="inlineStr">
        <is>
          <t>A hitelkorlátos („kézből a szájba élő”) háztartások súlya.</t>
        </is>
      </c>
      <c r="D25" s="7" t="inlineStr">
        <is>
          <t>Ez a rész nem optimalizál: elfogyasztja a folyó jövedelmét.</t>
        </is>
      </c>
      <c r="E25" s="7" t="inlineStr">
        <is>
          <t>A fogyasztás jövedelemérzékenysége; tartja a keresletet, ha a kamatcsatorna gyenge.</t>
        </is>
      </c>
      <c r="F25" s="7" t="inlineStr">
        <is>
          <t>KÖZVETLENÜL MÉRHETŐ: a nettó likvid vagyonnal nem rendelkező háztartások aránya a vagyonfelmérésben.</t>
        </is>
      </c>
      <c r="G25" s="7" t="inlineStr">
        <is>
          <t>Háztartási vagyonfelmérés (HFCS), magyar hullámok.</t>
        </is>
      </c>
      <c r="H25" s="7" t="inlineStr">
        <is>
          <t>0,25–0,50 (JV 0,25 = survey-feltevés, nem poszterior)</t>
        </is>
      </c>
      <c r="I25" s="7" t="inlineStr">
        <is>
          <t>NEM — de nem is DSGE-becslés kérdése.</t>
        </is>
      </c>
      <c r="J25" s="7" t="inlineStr">
        <is>
          <t>HFCS magyar hullám mikroadata. Egy DIREKT mérés jobb, mint bármelyik DSGE-becslés. NYITOTT TÉTEL.</t>
        </is>
      </c>
      <c r="K25" s="7" t="inlineStr">
        <is>
          <t>RÉSZBEN — a szám konvencionális, de erre a paraméterre létezik jobb, direkt forrás.</t>
        </is>
      </c>
      <c r="L25" s="7" t="n">
        <v>0.25</v>
      </c>
      <c r="M25" s="7" t="inlineStr">
        <is>
          <t>C</t>
        </is>
      </c>
      <c r="N25" s="7" t="inlineStr">
        <is>
          <t>horgonyzott</t>
        </is>
      </c>
      <c r="O25" s="7" t="inlineStr">
        <is>
          <t>aktív</t>
        </is>
      </c>
      <c r="P25" s="7" t="inlineStr"/>
    </row>
    <row r="26">
      <c r="A26" s="7" t="inlineStr">
        <is>
          <t>eps_qw</t>
        </is>
      </c>
      <c r="B26" s="7" t="inlineStr">
        <is>
          <t>Tőkeár–hozam időzítési súly</t>
        </is>
      </c>
      <c r="C26" s="7" t="inlineStr">
        <is>
          <t>A q és a tőkehozam relatív súlya a vállalati saját tőkehozamban.</t>
        </is>
      </c>
      <c r="D26" s="7" t="inlineStr">
        <is>
          <t>A nettóvagyon-egyenlet hozamtagjának összetétele.</t>
        </is>
      </c>
      <c r="E26" s="7" t="inlineStr">
        <is>
          <t>🟡 Közös mindhárom típusra, de a meglévő BGG-aszimmetriákat skálázza.</t>
        </is>
      </c>
      <c r="F26" s="7" t="inlineStr">
        <is>
          <t>BGG-konvenció; nem önállóan becsült.</t>
        </is>
      </c>
      <c r="G26" s="7" t="inlineStr">
        <is>
          <t>—</t>
        </is>
      </c>
      <c r="H26" s="7" t="inlineStr">
        <is>
          <t>0,95–0,99 (BGG 1999)</t>
        </is>
      </c>
      <c r="I26" s="7" t="inlineStr">
        <is>
          <t>NEM — nem magyar becslés.</t>
        </is>
      </c>
      <c r="J26" s="7" t="inlineStr">
        <is>
          <t>Elvben cégszintű tőkehozam-dekompozíció.</t>
        </is>
      </c>
      <c r="K26" s="7" t="inlineStr">
        <is>
          <t>IGEN — bevett BGG-konvenció.</t>
        </is>
      </c>
      <c r="L26" s="7" t="n">
        <v>0.96</v>
      </c>
      <c r="M26" s="7" t="inlineStr">
        <is>
          <t>C</t>
        </is>
      </c>
      <c r="N26" s="7" t="inlineStr">
        <is>
          <t>horgonyzott</t>
        </is>
      </c>
      <c r="O26" s="7" t="inlineStr">
        <is>
          <t>aktív</t>
        </is>
      </c>
      <c r="P26" s="7" t="inlineStr"/>
    </row>
    <row r="27">
      <c r="A27" s="7" t="inlineStr">
        <is>
          <t>omega_nw</t>
        </is>
      </c>
      <c r="B27" s="7" t="inlineStr">
        <is>
          <t>Nettó vagyon perzisztenciája</t>
        </is>
      </c>
      <c r="C27" s="7" t="inlineStr">
        <is>
          <t>A vállalkozók túlélési/tőkefelhalmozási rátája.</t>
        </is>
      </c>
      <c r="D27" s="7" t="inlineStr">
        <is>
          <t>nw_j = omega_nw·(…). A tőkefelhalmozás lassúságát adja.</t>
        </is>
      </c>
      <c r="E27" s="7" t="inlineStr">
        <is>
          <t>🟡 A pénzügyi akcelerátor időbeli lefutása; a lev_j különbségekkel EGYÜTT hat.</t>
        </is>
      </c>
      <c r="F27" s="7" t="inlineStr">
        <is>
          <t>BGG-konvenció: omega_nw ≈ 1 − (vállalkozói kilépési ráta). 0,95 ≈ 5 év átlagos élettartam.</t>
        </is>
      </c>
      <c r="G27" s="7" t="inlineStr">
        <is>
          <t>Cégszintű túlélési ráta.</t>
        </is>
      </c>
      <c r="H27" s="7" t="inlineStr">
        <is>
          <t>0,94–0,99 (BGG 1999: 0,9728)</t>
        </is>
      </c>
      <c r="I27" s="7" t="inlineStr">
        <is>
          <t>RÉSZBEN — a cégpanelből a kilépési ráta elvben számolható.</t>
        </is>
      </c>
      <c r="J27" s="7" t="inlineStr">
        <is>
          <t>Cég-demográfiai adat (belépés/kilépés) méret szerint.</t>
        </is>
      </c>
      <c r="K27" s="7" t="inlineStr">
        <is>
          <t>IGEN — bevett BGG-konvenció.</t>
        </is>
      </c>
      <c r="L27" s="7" t="n">
        <v>0.95</v>
      </c>
      <c r="M27" s="7" t="inlineStr">
        <is>
          <t>C</t>
        </is>
      </c>
      <c r="N27" s="7" t="inlineStr">
        <is>
          <t>horgonyzott</t>
        </is>
      </c>
      <c r="O27" s="7" t="inlineStr">
        <is>
          <t>aktív</t>
        </is>
      </c>
      <c r="P27" s="7" t="inlineStr"/>
    </row>
    <row r="28">
      <c r="A28" s="7" t="inlineStr">
        <is>
          <t>om_E</t>
        </is>
      </c>
      <c r="B28" s="7" t="inlineStr">
        <is>
          <t>Típus méretsúlya</t>
        </is>
      </c>
      <c r="C28" s="7" t="inlineStr">
        <is>
          <t>A vállalattípus részesedése az aggregált kibocsátásból.</t>
        </is>
      </c>
      <c r="D28" s="7" t="inlineStr">
        <is>
          <t>Az aggregált tőke, beruházás és a származtatott súlyok (wd, wx, shm) alapja.</t>
        </is>
      </c>
      <c r="E28" s="7" t="inlineStr">
        <is>
          <t>🔵 Az aggregálást és az összetételt mozgatja; az egyedi y_j-t nem közvetlenül.</t>
        </is>
      </c>
      <c r="F28" s="7" t="inlineStr">
        <is>
          <t>om_j = a típus árbevétele / az összes vállalat árbevétele.</t>
        </is>
      </c>
      <c r="G28" s="7" t="inlineStr">
        <is>
          <t>Cégszintű árbevétel, méret és exportstátusz szerint bontva.</t>
        </is>
      </c>
      <c r="H28" s="7" t="inlineStr">
        <is>
          <t>Nincs irodalmi érték — országspecifikus szerkezeti adat.</t>
        </is>
      </c>
      <c r="I28" s="7" t="inlineStr">
        <is>
          <t>⚠ FELTÉTELES — megvan (0,2555/0,1844/0,5601), de csak a 10+ fős körön BELÜLI részesedésként; a mikrocégek nincsenek a panelben.</t>
        </is>
      </c>
      <c r="J28" s="7" t="inlineStr">
        <is>
          <t>KSH/Eurostat SBS mikrokör-bontás (0–9 fős cégek), vagy az EC/ECB SAFE éves köre, amely mikrocégekre is bont.</t>
        </is>
      </c>
      <c r="K28" s="7" t="inlineStr">
        <is>
          <t>NEM — magyar szerkezeti adat.</t>
        </is>
      </c>
      <c r="L28" s="7" t="n">
        <v>0.18</v>
      </c>
      <c r="M28" s="7" t="inlineStr">
        <is>
          <t>A</t>
        </is>
      </c>
      <c r="N28" s="7" t="inlineStr">
        <is>
          <t>feltételes</t>
        </is>
      </c>
      <c r="O28" s="7" t="inlineStr">
        <is>
          <t>aktív</t>
        </is>
      </c>
      <c r="P28" s="7" t="inlineStr">
        <is>
          <t>-DOPTEN</t>
        </is>
      </c>
    </row>
    <row r="29">
      <c r="A29" s="7" t="inlineStr">
        <is>
          <t>om_D</t>
        </is>
      </c>
      <c r="B29" s="7" t="inlineStr">
        <is>
          <t>Típus méretsúlya</t>
        </is>
      </c>
      <c r="C29" s="7" t="inlineStr">
        <is>
          <t>A vállalattípus részesedése az aggregált kibocsátásból.</t>
        </is>
      </c>
      <c r="D29" s="7" t="inlineStr">
        <is>
          <t>Az aggregált tőke, beruházás és a származtatott súlyok (wd, wx, shm) alapja.</t>
        </is>
      </c>
      <c r="E29" s="7" t="inlineStr">
        <is>
          <t>🔵 Az aggregálást és az összetételt mozgatja; az egyedi y_j-t nem közvetlenül.</t>
        </is>
      </c>
      <c r="F29" s="7" t="inlineStr">
        <is>
          <t>om_j = a típus árbevétele / az összes vállalat árbevétele.</t>
        </is>
      </c>
      <c r="G29" s="7" t="inlineStr">
        <is>
          <t>Cégszintű árbevétel, méret és exportstátusz szerint bontva.</t>
        </is>
      </c>
      <c r="H29" s="7" t="inlineStr">
        <is>
          <t>Nincs irodalmi érték — országspecifikus szerkezeti adat.</t>
        </is>
      </c>
      <c r="I29" s="7" t="inlineStr">
        <is>
          <t>⚠ FELTÉTELES — megvan (0,2555/0,1844/0,5601), de csak a 10+ fős körön BELÜLI részesedésként; a mikrocégek nincsenek a panelben.</t>
        </is>
      </c>
      <c r="J29" s="7" t="inlineStr">
        <is>
          <t>KSH/Eurostat SBS mikrokör-bontás (0–9 fős cégek), vagy az EC/ECB SAFE éves köre, amely mikrocégekre is bont.</t>
        </is>
      </c>
      <c r="K29" s="7" t="inlineStr">
        <is>
          <t>NEM — magyar szerkezeti adat.</t>
        </is>
      </c>
      <c r="L29" s="7" t="n">
        <v>0.37</v>
      </c>
      <c r="M29" s="7" t="inlineStr">
        <is>
          <t>A</t>
        </is>
      </c>
      <c r="N29" s="7" t="inlineStr">
        <is>
          <t>feltételes</t>
        </is>
      </c>
      <c r="O29" s="7" t="inlineStr">
        <is>
          <t>aktív</t>
        </is>
      </c>
      <c r="P29" s="7" t="inlineStr">
        <is>
          <t>-DOPTEN</t>
        </is>
      </c>
    </row>
    <row r="30">
      <c r="A30" s="7" t="inlineStr">
        <is>
          <t>om_L</t>
        </is>
      </c>
      <c r="B30" s="7" t="inlineStr">
        <is>
          <t>Típus méretsúlya</t>
        </is>
      </c>
      <c r="C30" s="7" t="inlineStr">
        <is>
          <t>A vállalattípus részesedése az aggregált kibocsátásból.</t>
        </is>
      </c>
      <c r="D30" s="7" t="inlineStr">
        <is>
          <t>Az aggregált tőke, beruházás és a származtatott súlyok (wd, wx, shm) alapja.</t>
        </is>
      </c>
      <c r="E30" s="7" t="inlineStr">
        <is>
          <t>🔵 Az aggregálást és az összetételt mozgatja; az egyedi y_j-t nem közvetlenül.</t>
        </is>
      </c>
      <c r="F30" s="7" t="inlineStr">
        <is>
          <t>om_j = a típus árbevétele / az összes vállalat árbevétele.</t>
        </is>
      </c>
      <c r="G30" s="7" t="inlineStr">
        <is>
          <t>Cégszintű árbevétel, méret és exportstátusz szerint bontva.</t>
        </is>
      </c>
      <c r="H30" s="7" t="inlineStr">
        <is>
          <t>Nincs irodalmi érték — országspecifikus szerkezeti adat.</t>
        </is>
      </c>
      <c r="I30" s="7" t="inlineStr">
        <is>
          <t>⚠ FELTÉTELES — megvan (0,2555/0,1844/0,5601), de csak a 10+ fős körön BELÜLI részesedésként; a mikrocégek nincsenek a panelben.</t>
        </is>
      </c>
      <c r="J30" s="7" t="inlineStr">
        <is>
          <t>KSH/Eurostat SBS mikrokör-bontás (0–9 fős cégek), vagy az EC/ECB SAFE éves köre, amely mikrocégekre is bont.</t>
        </is>
      </c>
      <c r="K30" s="7" t="inlineStr">
        <is>
          <t>NEM — magyar szerkezeti adat.</t>
        </is>
      </c>
      <c r="L30" s="7" t="n">
        <v>0.45</v>
      </c>
      <c r="M30" s="7" t="inlineStr">
        <is>
          <t>A</t>
        </is>
      </c>
      <c r="N30" s="7" t="inlineStr">
        <is>
          <t>feltételes</t>
        </is>
      </c>
      <c r="O30" s="7" t="inlineStr">
        <is>
          <t>aktív</t>
        </is>
      </c>
      <c r="P30" s="7" t="inlineStr">
        <is>
          <t>-DOPTEN</t>
        </is>
      </c>
    </row>
    <row r="31">
      <c r="A31" s="7" t="inlineStr">
        <is>
          <t>phi_E</t>
        </is>
      </c>
      <c r="B31" s="7" t="inlineStr">
        <is>
          <t>Exportárbevétel-arány</t>
        </is>
      </c>
      <c r="C31" s="7" t="inlineStr">
        <is>
          <t>A típus árbevételének exportra jutó hányada.</t>
        </is>
      </c>
      <c r="D31" s="7" t="inlineStr">
        <is>
          <t>y_j = (1−phi_j)·d_j + phi_j·x_j; a wd_j és wx_j súlyokat is meghatározza.</t>
        </is>
      </c>
      <c r="E31" s="7" t="inlineStr">
        <is>
          <t>🔴 KÖZVETLEN piaci-orientációs driver: eldönti, mennyire érinti a típust a reálárfolyam vs a hazai kereslet.</t>
        </is>
      </c>
      <c r="F31" s="7" t="inlineStr">
        <is>
          <t>phi_j = exportárbevétel / összes árbevétel, típusonként.</t>
        </is>
      </c>
      <c r="G31" s="7" t="inlineStr">
        <is>
          <t>Cégszintű árbevétel export/belföld bontásban.</t>
        </is>
      </c>
      <c r="H31" s="7" t="inlineStr">
        <is>
          <t>Nincs irodalmi érték — országspecifikus.</t>
        </is>
      </c>
      <c r="I31" s="7" t="inlineStr">
        <is>
          <t>✅ phi_L MEGVAN (0,3649, négy tizedesig egyezik az átvett 0,365-tel). ⚠ phi_E és phi_D DEFINÍCIÓFÜGGŐ: tág def. 0,376/0,000; 25%-os def. 0,691/0,023.</t>
        </is>
      </c>
      <c r="J31" s="7" t="inlineStr">
        <is>
          <t>Semmi új adat — a kérdés KUTATÓI DÖNTÉS: hol húzzuk meg az „exportáló KKV” határát. Ezt scanelni kell (10/25/40%).</t>
        </is>
      </c>
      <c r="K31" s="7" t="inlineStr">
        <is>
          <t>NEM.</t>
        </is>
      </c>
      <c r="L31" s="7" t="n">
        <v>0.5600000000000001</v>
      </c>
      <c r="M31" s="7" t="inlineStr">
        <is>
          <t>A</t>
        </is>
      </c>
      <c r="N31" s="7" t="inlineStr">
        <is>
          <t>feltételes</t>
        </is>
      </c>
      <c r="O31" s="7" t="inlineStr">
        <is>
          <t>aktív</t>
        </is>
      </c>
      <c r="P31" s="7" t="inlineStr">
        <is>
          <t>-DOPTEN / -DDECOMP</t>
        </is>
      </c>
    </row>
    <row r="32">
      <c r="A32" s="7" t="inlineStr">
        <is>
          <t>phi_D</t>
        </is>
      </c>
      <c r="B32" s="7" t="inlineStr">
        <is>
          <t>Exportárbevétel-arány</t>
        </is>
      </c>
      <c r="C32" s="7" t="inlineStr">
        <is>
          <t>A típus árbevételének exportra jutó hányada.</t>
        </is>
      </c>
      <c r="D32" s="7" t="inlineStr">
        <is>
          <t>y_j = (1−phi_j)·d_j + phi_j·x_j; a wd_j és wx_j súlyokat is meghatározza.</t>
        </is>
      </c>
      <c r="E32" s="7" t="inlineStr">
        <is>
          <t>🔴 KÖZVETLEN piaci-orientációs driver: eldönti, mennyire érinti a típust a reálárfolyam vs a hazai kereslet.</t>
        </is>
      </c>
      <c r="F32" s="7" t="inlineStr">
        <is>
          <t>phi_j = exportárbevétel / összes árbevétel, típusonként.</t>
        </is>
      </c>
      <c r="G32" s="7" t="inlineStr">
        <is>
          <t>Cégszintű árbevétel export/belföld bontásban.</t>
        </is>
      </c>
      <c r="H32" s="7" t="inlineStr">
        <is>
          <t>Nincs irodalmi érték — országspecifikus.</t>
        </is>
      </c>
      <c r="I32" s="7" t="inlineStr">
        <is>
          <t>✅ phi_L MEGVAN (0,3649, négy tizedesig egyezik az átvett 0,365-tel). ⚠ phi_E és phi_D DEFINÍCIÓFÜGGŐ: tág def. 0,376/0,000; 25%-os def. 0,691/0,023.</t>
        </is>
      </c>
      <c r="J32" s="7" t="inlineStr">
        <is>
          <t>Semmi új adat — a kérdés KUTATÓI DÖNTÉS: hol húzzuk meg az „exportáló KKV” határát. Ezt scanelni kell (10/25/40%).</t>
        </is>
      </c>
      <c r="K32" s="7" t="inlineStr">
        <is>
          <t>NEM.</t>
        </is>
      </c>
      <c r="L32" s="7" t="n">
        <v>0.05</v>
      </c>
      <c r="M32" s="7" t="inlineStr">
        <is>
          <t>A</t>
        </is>
      </c>
      <c r="N32" s="7" t="inlineStr">
        <is>
          <t>feltételes</t>
        </is>
      </c>
      <c r="O32" s="7" t="inlineStr">
        <is>
          <t>aktív</t>
        </is>
      </c>
      <c r="P32" s="7" t="inlineStr">
        <is>
          <t>-DOPTEN / -DDECOMP</t>
        </is>
      </c>
    </row>
    <row r="33">
      <c r="A33" s="7" t="inlineStr">
        <is>
          <t>phi_L</t>
        </is>
      </c>
      <c r="B33" s="7" t="inlineStr">
        <is>
          <t>Exportárbevétel-arány</t>
        </is>
      </c>
      <c r="C33" s="7" t="inlineStr">
        <is>
          <t>A típus árbevételének exportra jutó hányada.</t>
        </is>
      </c>
      <c r="D33" s="7" t="inlineStr">
        <is>
          <t>y_j = (1−phi_j)·d_j + phi_j·x_j; a wd_j és wx_j súlyokat is meghatározza.</t>
        </is>
      </c>
      <c r="E33" s="7" t="inlineStr">
        <is>
          <t>🔴 KÖZVETLEN piaci-orientációs driver: eldönti, mennyire érinti a típust a reálárfolyam vs a hazai kereslet.</t>
        </is>
      </c>
      <c r="F33" s="7" t="inlineStr">
        <is>
          <t>phi_j = exportárbevétel / összes árbevétel, típusonként.</t>
        </is>
      </c>
      <c r="G33" s="7" t="inlineStr">
        <is>
          <t>Cégszintű árbevétel export/belföld bontásban.</t>
        </is>
      </c>
      <c r="H33" s="7" t="inlineStr">
        <is>
          <t>Nincs irodalmi érték — országspecifikus.</t>
        </is>
      </c>
      <c r="I33" s="7" t="inlineStr">
        <is>
          <t>✅ phi_L MEGVAN (0,3649, négy tizedesig egyezik az átvett 0,365-tel). ⚠ phi_E és phi_D DEFINÍCIÓFÜGGŐ: tág def. 0,376/0,000; 25%-os def. 0,691/0,023.</t>
        </is>
      </c>
      <c r="J33" s="7" t="inlineStr">
        <is>
          <t>Semmi új adat — a kérdés KUTATÓI DÖNTÉS: hol húzzuk meg az „exportáló KKV” határát. Ezt scanelni kell (10/25/40%).</t>
        </is>
      </c>
      <c r="K33" s="7" t="inlineStr">
        <is>
          <t>NEM.</t>
        </is>
      </c>
      <c r="L33" s="7" t="n">
        <v>0.365</v>
      </c>
      <c r="M33" s="7" t="inlineStr">
        <is>
          <t>A</t>
        </is>
      </c>
      <c r="N33" s="7" t="inlineStr">
        <is>
          <t>horgonyzott</t>
        </is>
      </c>
      <c r="O33" s="7" t="inlineStr">
        <is>
          <t>aktív</t>
        </is>
      </c>
      <c r="P33" s="7" t="inlineStr">
        <is>
          <t>-DOPTEN / -DDECOMP</t>
        </is>
      </c>
    </row>
    <row r="34">
      <c r="A34" s="7" t="inlineStr">
        <is>
          <t>zeta_E</t>
        </is>
      </c>
      <c r="B34" s="7" t="inlineStr">
        <is>
          <t>Tőkehányad a határköltségben</t>
        </is>
      </c>
      <c r="C34" s="7" t="inlineStr">
        <is>
          <t>A tőkeköltség súlya a típus határköltségében.</t>
        </is>
      </c>
      <c r="D34" s="7" t="inlineStr">
        <is>
          <t>mc_j = zeta_j·rk_j + (1−zeta_j)·wz_j − a. A tőkeköltség-érzékenységet szabja.</t>
        </is>
      </c>
      <c r="E34" s="7" t="inlineStr">
        <is>
          <t>🟠 Mennyire érzékeny a típus a tőkeköltségre — tehát az egész euró-csatornára. A BK-valid dekompozíció szerint a teljes technológiai heterogenitás kivétele a küszöböt csak ~3%-kal mozdítja.</t>
        </is>
      </c>
      <c r="F34" s="7" t="inlineStr">
        <is>
          <t>zeta_j = tőkejövedelem / hozzáadott érték = (ÉCS + üzemi eredmény) / (ÉCS + üzemi eredmény + személyi jellegű ráfordítás), típusonként.</t>
        </is>
      </c>
      <c r="G34" s="7" t="inlineStr">
        <is>
          <t>Cégszintű eredménykimutatás (ÉCS, üzemi eredmény, bérköltség) VAGY KSH ágazati tőkejövedelem-hányad.</t>
        </is>
      </c>
      <c r="H34" s="7" t="inlineStr">
        <is>
          <t>0,30–0,40 aggregált tőkehányad; a JV szektorértékei (0,14/0,17) ennél jóval alacsonyabbak, mert a MŰKÖDÉSI határköltségre vonatkoznak.</t>
        </is>
      </c>
      <c r="I34" s="7" t="inlineStr">
        <is>
          <t>✅ RÉSZBEN — az Opten-panel tartalmazza a szükséges sorokat. A nehézség nem az adat, hanem az E/D/L leképezés.</t>
        </is>
      </c>
      <c r="J34" s="7" t="inlineStr">
        <is>
          <t>Az aggregált KSH-adat megvan; a méret × exportorientáció szerinti bontáshoz a cégpanelből kell újraszámolni.</t>
        </is>
      </c>
      <c r="K34" s="7" t="inlineStr">
        <is>
          <t>NEM — jelenleg a JV szektorértékeinek ÁTVITELE, nem becslés. A .mod maga írja: „Ez ATVITEL, nem becsles.”</t>
        </is>
      </c>
      <c r="L34" s="7" t="n">
        <v>0.14</v>
      </c>
      <c r="M34" s="7" t="inlineStr">
        <is>
          <t>B</t>
        </is>
      </c>
      <c r="N34" s="7" t="inlineStr">
        <is>
          <t>pótolandó</t>
        </is>
      </c>
      <c r="O34" s="7" t="inlineStr">
        <is>
          <t>aktív</t>
        </is>
      </c>
      <c r="P34" s="7" t="inlineStr">
        <is>
          <t>-DDECOMP</t>
        </is>
      </c>
    </row>
    <row r="35">
      <c r="A35" s="7" t="inlineStr">
        <is>
          <t>zeta_D</t>
        </is>
      </c>
      <c r="B35" s="7" t="inlineStr">
        <is>
          <t>Tőkehányad a határköltségben</t>
        </is>
      </c>
      <c r="C35" s="7" t="inlineStr">
        <is>
          <t>A tőkeköltség súlya a típus határköltségében.</t>
        </is>
      </c>
      <c r="D35" s="7" t="inlineStr">
        <is>
          <t>mc_j = zeta_j·rk_j + (1−zeta_j)·wz_j − a. A tőkeköltség-érzékenységet szabja.</t>
        </is>
      </c>
      <c r="E35" s="7" t="inlineStr">
        <is>
          <t>🟠 Mennyire érzékeny a típus a tőkeköltségre — tehát az egész euró-csatornára. A BK-valid dekompozíció szerint a teljes technológiai heterogenitás kivétele a küszöböt csak ~3%-kal mozdítja.</t>
        </is>
      </c>
      <c r="F35" s="7" t="inlineStr">
        <is>
          <t>zeta_j = tőkejövedelem / hozzáadott érték = (ÉCS + üzemi eredmény) / (ÉCS + üzemi eredmény + személyi jellegű ráfordítás), típusonként.</t>
        </is>
      </c>
      <c r="G35" s="7" t="inlineStr">
        <is>
          <t>Cégszintű eredménykimutatás (ÉCS, üzemi eredmény, bérköltség) VAGY KSH ágazati tőkejövedelem-hányad.</t>
        </is>
      </c>
      <c r="H35" s="7" t="inlineStr">
        <is>
          <t>0,30–0,40 aggregált tőkehányad; a JV szektorértékei (0,14/0,17) ennél jóval alacsonyabbak, mert a MŰKÖDÉSI határköltségre vonatkoznak.</t>
        </is>
      </c>
      <c r="I35" s="7" t="inlineStr">
        <is>
          <t>✅ RÉSZBEN — az Opten-panel tartalmazza a szükséges sorokat. A nehézség nem az adat, hanem az E/D/L leképezés.</t>
        </is>
      </c>
      <c r="J35" s="7" t="inlineStr">
        <is>
          <t>Az aggregált KSH-adat megvan; a méret × exportorientáció szerinti bontáshoz a cégpanelből kell újraszámolni.</t>
        </is>
      </c>
      <c r="K35" s="7" t="inlineStr">
        <is>
          <t>NEM — jelenleg a JV szektorértékeinek ÁTVITELE, nem becslés. A .mod maga írja: „Ez ATVITEL, nem becsles.”</t>
        </is>
      </c>
      <c r="L35" s="7" t="n">
        <v>0.17</v>
      </c>
      <c r="M35" s="7" t="inlineStr">
        <is>
          <t>B</t>
        </is>
      </c>
      <c r="N35" s="7" t="inlineStr">
        <is>
          <t>pótolandó</t>
        </is>
      </c>
      <c r="O35" s="7" t="inlineStr">
        <is>
          <t>aktív</t>
        </is>
      </c>
      <c r="P35" s="7" t="inlineStr">
        <is>
          <t>-DDECOMP</t>
        </is>
      </c>
    </row>
    <row r="36">
      <c r="A36" s="7" t="inlineStr">
        <is>
          <t>zeta_L</t>
        </is>
      </c>
      <c r="B36" s="7" t="inlineStr">
        <is>
          <t>Tőkehányad a határköltségben</t>
        </is>
      </c>
      <c r="C36" s="7" t="inlineStr">
        <is>
          <t>A tőkeköltség súlya a típus határköltségében.</t>
        </is>
      </c>
      <c r="D36" s="7" t="inlineStr">
        <is>
          <t>mc_j = zeta_j·rk_j + (1−zeta_j)·wz_j − a. A tőkeköltség-érzékenységet szabja.</t>
        </is>
      </c>
      <c r="E36" s="7" t="inlineStr">
        <is>
          <t>🟠 Mennyire érzékeny a típus a tőkeköltségre — tehát az egész euró-csatornára. A BK-valid dekompozíció szerint a teljes technológiai heterogenitás kivétele a küszöböt csak ~3%-kal mozdítja.</t>
        </is>
      </c>
      <c r="F36" s="7" t="inlineStr">
        <is>
          <t>zeta_j = tőkejövedelem / hozzáadott érték = (ÉCS + üzemi eredmény) / (ÉCS + üzemi eredmény + személyi jellegű ráfordítás), típusonként.</t>
        </is>
      </c>
      <c r="G36" s="7" t="inlineStr">
        <is>
          <t>Cégszintű eredménykimutatás (ÉCS, üzemi eredmény, bérköltség) VAGY KSH ágazati tőkejövedelem-hányad.</t>
        </is>
      </c>
      <c r="H36" s="7" t="inlineStr">
        <is>
          <t>0,30–0,40 aggregált tőkehányad; a JV szektorértékei (0,14/0,17) ennél jóval alacsonyabbak, mert a MŰKÖDÉSI határköltségre vonatkoznak.</t>
        </is>
      </c>
      <c r="I36" s="7" t="inlineStr">
        <is>
          <t>✅ RÉSZBEN — az Opten-panel tartalmazza a szükséges sorokat. A nehézség nem az adat, hanem az E/D/L leképezés.</t>
        </is>
      </c>
      <c r="J36" s="7" t="inlineStr">
        <is>
          <t>Az aggregált KSH-adat megvan; a méret × exportorientáció szerinti bontáshoz a cégpanelből kell újraszámolni.</t>
        </is>
      </c>
      <c r="K36" s="7" t="inlineStr">
        <is>
          <t>NEM — jelenleg a JV szektorértékeinek ÁTVITELE, nem becslés. A .mod maga írja: „Ez ATVITEL, nem becsles.”</t>
        </is>
      </c>
      <c r="L36" s="7" t="n">
        <v>0.155</v>
      </c>
      <c r="M36" s="7" t="inlineStr">
        <is>
          <t>B</t>
        </is>
      </c>
      <c r="N36" s="7" t="inlineStr">
        <is>
          <t>pótolandó</t>
        </is>
      </c>
      <c r="O36" s="7" t="inlineStr">
        <is>
          <t>aktív</t>
        </is>
      </c>
      <c r="P36" s="7" t="inlineStr">
        <is>
          <t>-DDECOMP</t>
        </is>
      </c>
    </row>
    <row r="37">
      <c r="A37" s="7" t="inlineStr">
        <is>
          <t>aa_E</t>
        </is>
      </c>
      <c r="B37" s="7" t="inlineStr">
        <is>
          <t>Munka aránya a munka+import kompozitban</t>
        </is>
      </c>
      <c r="C37" s="7" t="inlineStr">
        <is>
          <t>A bérköltség súlya a munka és az importált köztes input kompozitjában.</t>
        </is>
      </c>
      <c r="D37" s="7" t="inlineStr">
        <is>
          <t>wz_j = aa_j·w + (1−aa_j)·rer. Az (1−aa_j) az import-/árfolyamkitettség.</t>
        </is>
      </c>
      <c r="E37" s="7" t="inlineStr">
        <is>
          <t>🟠 A magyar duális szerkezet központi paramétere: az exportáló KKV költségének 55%-a importált input, a hazaiénak csak 20%-a. Ezért az árfolyam a két típust másképp érinti.</t>
        </is>
      </c>
      <c r="F37" s="7" t="inlineStr">
        <is>
          <t>aa_j = személyi jellegű ráfordítás / (személyi jellegű ráfordítás + importált anyagjellegű ráfordítás), típusonként.</t>
        </is>
      </c>
      <c r="G37" s="7" t="inlineStr">
        <is>
          <t>Cégszintű bérköltség + anyagjellegű ráfordítás, az import-tartalom elkülönítésével.</t>
        </is>
      </c>
      <c r="H37" s="7" t="inlineStr">
        <is>
          <t>Nincs bevett irodalmi érték — ország- és szektorspecifikus.</t>
        </is>
      </c>
      <c r="I37" s="7" t="inlineStr">
        <is>
          <t>⚠ RÉSZBEN — a bérköltség megvan a panelben, de az anyagjellegű ráfordítás IMPORT-tartalma nem közvetlenül.</t>
        </is>
      </c>
      <c r="J37" s="7" t="inlineStr">
        <is>
          <t>Cégszintű import-adat (vám-/VIES-adat) vagy ágazati import-tartalom (TiVA) hozzákapcsolása.</t>
        </is>
      </c>
      <c r="K37" s="7" t="inlineStr">
        <is>
          <t>NEM — átvitel a JV szektoraiból.</t>
        </is>
      </c>
      <c r="L37" s="7" t="n">
        <v>0.45</v>
      </c>
      <c r="M37" s="7" t="inlineStr">
        <is>
          <t>B</t>
        </is>
      </c>
      <c r="N37" s="7" t="inlineStr">
        <is>
          <t>pótolandó</t>
        </is>
      </c>
      <c r="O37" s="7" t="inlineStr">
        <is>
          <t>aktív</t>
        </is>
      </c>
      <c r="P37" s="7" t="inlineStr">
        <is>
          <t>-DDECOMP</t>
        </is>
      </c>
    </row>
    <row r="38">
      <c r="A38" s="7" t="inlineStr">
        <is>
          <t>aa_D</t>
        </is>
      </c>
      <c r="B38" s="7" t="inlineStr">
        <is>
          <t>Munka aránya a munka+import kompozitban</t>
        </is>
      </c>
      <c r="C38" s="7" t="inlineStr">
        <is>
          <t>A bérköltség súlya a munka és az importált köztes input kompozitjában.</t>
        </is>
      </c>
      <c r="D38" s="7" t="inlineStr">
        <is>
          <t>wz_j = aa_j·w + (1−aa_j)·rer. Az (1−aa_j) az import-/árfolyamkitettség.</t>
        </is>
      </c>
      <c r="E38" s="7" t="inlineStr">
        <is>
          <t>🟠 A magyar duális szerkezet központi paramétere: az exportáló KKV költségének 55%-a importált input, a hazaiénak csak 20%-a. Ezért az árfolyam a két típust másképp érinti.</t>
        </is>
      </c>
      <c r="F38" s="7" t="inlineStr">
        <is>
          <t>aa_j = személyi jellegű ráfordítás / (személyi jellegű ráfordítás + importált anyagjellegű ráfordítás), típusonként.</t>
        </is>
      </c>
      <c r="G38" s="7" t="inlineStr">
        <is>
          <t>Cégszintű bérköltség + anyagjellegű ráfordítás, az import-tartalom elkülönítésével.</t>
        </is>
      </c>
      <c r="H38" s="7" t="inlineStr">
        <is>
          <t>Nincs bevett irodalmi érték — ország- és szektorspecifikus.</t>
        </is>
      </c>
      <c r="I38" s="7" t="inlineStr">
        <is>
          <t>⚠ RÉSZBEN — a bérköltség megvan a panelben, de az anyagjellegű ráfordítás IMPORT-tartalma nem közvetlenül.</t>
        </is>
      </c>
      <c r="J38" s="7" t="inlineStr">
        <is>
          <t>Cégszintű import-adat (vám-/VIES-adat) vagy ágazati import-tartalom (TiVA) hozzákapcsolása.</t>
        </is>
      </c>
      <c r="K38" s="7" t="inlineStr">
        <is>
          <t>NEM — átvitel a JV szektoraiból.</t>
        </is>
      </c>
      <c r="L38" s="7" t="n">
        <v>0.8</v>
      </c>
      <c r="M38" s="7" t="inlineStr">
        <is>
          <t>B</t>
        </is>
      </c>
      <c r="N38" s="7" t="inlineStr">
        <is>
          <t>pótolandó</t>
        </is>
      </c>
      <c r="O38" s="7" t="inlineStr">
        <is>
          <t>aktív</t>
        </is>
      </c>
      <c r="P38" s="7" t="inlineStr">
        <is>
          <t>-DDECOMP</t>
        </is>
      </c>
    </row>
    <row r="39">
      <c r="A39" s="7" t="inlineStr">
        <is>
          <t>aa_L</t>
        </is>
      </c>
      <c r="B39" s="7" t="inlineStr">
        <is>
          <t>Munka aránya a munka+import kompozitban</t>
        </is>
      </c>
      <c r="C39" s="7" t="inlineStr">
        <is>
          <t>A bérköltség súlya a munka és az importált köztes input kompozitjában.</t>
        </is>
      </c>
      <c r="D39" s="7" t="inlineStr">
        <is>
          <t>wz_j = aa_j·w + (1−aa_j)·rer. Az (1−aa_j) az import-/árfolyamkitettség.</t>
        </is>
      </c>
      <c r="E39" s="7" t="inlineStr">
        <is>
          <t>🟠 A magyar duális szerkezet központi paramétere: az exportáló KKV költségének 55%-a importált input, a hazaiénak csak 20%-a. Ezért az árfolyam a két típust másképp érinti.</t>
        </is>
      </c>
      <c r="F39" s="7" t="inlineStr">
        <is>
          <t>aa_j = személyi jellegű ráfordítás / (személyi jellegű ráfordítás + importált anyagjellegű ráfordítás), típusonként.</t>
        </is>
      </c>
      <c r="G39" s="7" t="inlineStr">
        <is>
          <t>Cégszintű bérköltség + anyagjellegű ráfordítás, az import-tartalom elkülönítésével.</t>
        </is>
      </c>
      <c r="H39" s="7" t="inlineStr">
        <is>
          <t>Nincs bevett irodalmi érték — ország- és szektorspecifikus.</t>
        </is>
      </c>
      <c r="I39" s="7" t="inlineStr">
        <is>
          <t>⚠ RÉSZBEN — a bérköltség megvan a panelben, de az anyagjellegű ráfordítás IMPORT-tartalma nem közvetlenül.</t>
        </is>
      </c>
      <c r="J39" s="7" t="inlineStr">
        <is>
          <t>Cégszintű import-adat (vám-/VIES-adat) vagy ágazati import-tartalom (TiVA) hozzákapcsolása.</t>
        </is>
      </c>
      <c r="K39" s="7" t="inlineStr">
        <is>
          <t>NEM — átvitel a JV szektoraiból.</t>
        </is>
      </c>
      <c r="L39" s="7" t="n">
        <v>0.6</v>
      </c>
      <c r="M39" s="7" t="inlineStr">
        <is>
          <t>B</t>
        </is>
      </c>
      <c r="N39" s="7" t="inlineStr">
        <is>
          <t>pótolandó</t>
        </is>
      </c>
      <c r="O39" s="7" t="inlineStr">
        <is>
          <t>aktív</t>
        </is>
      </c>
      <c r="P39" s="7" t="inlineStr">
        <is>
          <t>-DDECOMP</t>
        </is>
      </c>
    </row>
    <row r="40">
      <c r="A40" s="8" t="inlineStr">
        <is>
          <t>chi_E</t>
        </is>
      </c>
      <c r="B40" s="8" t="inlineStr">
        <is>
          <t>BGG külső finanszírozási felár rugalmassága</t>
        </is>
      </c>
      <c r="C40" s="8" t="inlineStr">
        <is>
          <t>Mennyivel nő a finanszírozási felár, ha a tőkeáttétel egy egységgel nő.</t>
        </is>
      </c>
      <c r="D40" s="8" t="inlineStr">
        <is>
          <t>efp_j = chi_j·(q_j + k_j − nw_j) + tsov_j·sov + tbank_j·bank.</t>
        </is>
      </c>
      <c r="E40" s="8" t="inlineStr">
        <is>
          <t>🔴 AZ EGYIK LEGERŐSEBB SZEGMENSDRIVER. A t35 scan szerint a chi-sorrend MEGFORDÍTÁSA megfordítja a szegmenssorrendet (−1,22 pp → +0,74 pp). ⚠ A jelenlegi 0,06/0,06/0,02 pontosan a VISSZAVONT V04 állítás számai (K01 konfliktus).</t>
        </is>
      </c>
      <c r="F40" s="8" t="inlineStr">
        <is>
          <t>PANEL-REGRESSZIÓ: hitelfelár_it = chi·tőkeáttétel_it + cég- és időhatások. A chi a meredekség. Elméletileg a BGG-szerződésből: chi = f(monitoring-költség, csődvalószínűség).</t>
        </is>
      </c>
      <c r="G40" s="8" t="inlineStr">
        <is>
          <t>Cégszintű HITELFELÁR (nem implicit ráta!) + mérlegpozíció, méret szerint, PIACI árazású időszakban.</t>
        </is>
      </c>
      <c r="H40" s="8" t="inlineStr">
        <is>
          <t>0,042–0,067 (Christensen–Dib 2008; BGG-konvenció) — de MÉRET SZERINTI BONTÁS NÉLKÜL. Egyetlen közös chi-t becsül az irodalom.</t>
        </is>
      </c>
      <c r="I40" s="8" t="inlineStr">
        <is>
          <t>❌ MEGPRÓBÁLTUK, NEM SIKERÜLT: a magyar panelen chi_S ≈ +0,002 (erősen attenuált alsó korlát), chi_L pedig egyáltalán nem azonosított (n=230, t=−0,78, rossz előjel). Ok: az implicit ráta mérési hibája (A15) és a programvezéreltség (A04).</t>
        </is>
      </c>
      <c r="J40" s="8" t="inlineStr">
        <is>
          <t>Cégszintű ÚJ-SZERZŐDÉSES hitelkamat (nem állományi implicit ráta) méret szerint, lehetőleg 2015–2020-as, nem programvezérelt időszakra. MNB hitelregiszter.</t>
        </is>
      </c>
      <c r="K40" s="8" t="inlineStr">
        <is>
          <t>⚠ RÉSZBEN — a SZINT átvehető (0,042–0,067), de a MÉRET SZERINTI ARÁNY nem: arra nincs irodalmi alap. Javaslat: szimmetrikus alap + scan.</t>
        </is>
      </c>
      <c r="L40" s="8" t="n">
        <v>0.06</v>
      </c>
      <c r="M40" s="8" t="inlineStr">
        <is>
          <t>D</t>
        </is>
      </c>
      <c r="N40" s="8" t="inlineStr">
        <is>
          <t>horgonyzatlan</t>
        </is>
      </c>
      <c r="O40" s="8" t="inlineStr">
        <is>
          <t>aktív</t>
        </is>
      </c>
      <c r="P40" s="8" t="inlineStr"/>
    </row>
    <row r="41">
      <c r="A41" s="8" t="inlineStr">
        <is>
          <t>chi_D</t>
        </is>
      </c>
      <c r="B41" s="8" t="inlineStr">
        <is>
          <t>BGG külső finanszírozási felár rugalmassága</t>
        </is>
      </c>
      <c r="C41" s="8" t="inlineStr">
        <is>
          <t>Mennyivel nő a finanszírozási felár, ha a tőkeáttétel egy egységgel nő.</t>
        </is>
      </c>
      <c r="D41" s="8" t="inlineStr">
        <is>
          <t>efp_j = chi_j·(q_j + k_j − nw_j) + tsov_j·sov + tbank_j·bank.</t>
        </is>
      </c>
      <c r="E41" s="8" t="inlineStr">
        <is>
          <t>🔴 AZ EGYIK LEGERŐSEBB SZEGMENSDRIVER. A t35 scan szerint a chi-sorrend MEGFORDÍTÁSA megfordítja a szegmenssorrendet (−1,22 pp → +0,74 pp). ⚠ A jelenlegi 0,06/0,06/0,02 pontosan a VISSZAVONT V04 állítás számai (K01 konfliktus).</t>
        </is>
      </c>
      <c r="F41" s="8" t="inlineStr">
        <is>
          <t>PANEL-REGRESSZIÓ: hitelfelár_it = chi·tőkeáttétel_it + cég- és időhatások. A chi a meredekség. Elméletileg a BGG-szerződésből: chi = f(monitoring-költség, csődvalószínűség).</t>
        </is>
      </c>
      <c r="G41" s="8" t="inlineStr">
        <is>
          <t>Cégszintű HITELFELÁR (nem implicit ráta!) + mérlegpozíció, méret szerint, PIACI árazású időszakban.</t>
        </is>
      </c>
      <c r="H41" s="8" t="inlineStr">
        <is>
          <t>0,042–0,067 (Christensen–Dib 2008; BGG-konvenció) — de MÉRET SZERINTI BONTÁS NÉLKÜL. Egyetlen közös chi-t becsül az irodalom.</t>
        </is>
      </c>
      <c r="I41" s="8" t="inlineStr">
        <is>
          <t>❌ MEGPRÓBÁLTUK, NEM SIKERÜLT: a magyar panelen chi_S ≈ +0,002 (erősen attenuált alsó korlát), chi_L pedig egyáltalán nem azonosított (n=230, t=−0,78, rossz előjel). Ok: az implicit ráta mérési hibája (A15) és a programvezéreltség (A04).</t>
        </is>
      </c>
      <c r="J41" s="8" t="inlineStr">
        <is>
          <t>Cégszintű ÚJ-SZERZŐDÉSES hitelkamat (nem állományi implicit ráta) méret szerint, lehetőleg 2015–2020-as, nem programvezérelt időszakra. MNB hitelregiszter.</t>
        </is>
      </c>
      <c r="K41" s="8" t="inlineStr">
        <is>
          <t>⚠ RÉSZBEN — a SZINT átvehető (0,042–0,067), de a MÉRET SZERINTI ARÁNY nem: arra nincs irodalmi alap. Javaslat: szimmetrikus alap + scan.</t>
        </is>
      </c>
      <c r="L41" s="8" t="n">
        <v>0.06</v>
      </c>
      <c r="M41" s="8" t="inlineStr">
        <is>
          <t>D</t>
        </is>
      </c>
      <c r="N41" s="8" t="inlineStr">
        <is>
          <t>horgonyzatlan</t>
        </is>
      </c>
      <c r="O41" s="8" t="inlineStr">
        <is>
          <t>aktív</t>
        </is>
      </c>
      <c r="P41" s="8" t="inlineStr"/>
    </row>
    <row r="42">
      <c r="A42" s="8" t="inlineStr">
        <is>
          <t>chi_L</t>
        </is>
      </c>
      <c r="B42" s="8" t="inlineStr">
        <is>
          <t>BGG külső finanszírozási felár rugalmassága</t>
        </is>
      </c>
      <c r="C42" s="8" t="inlineStr">
        <is>
          <t>Mennyivel nő a finanszírozási felár, ha a tőkeáttétel egy egységgel nő.</t>
        </is>
      </c>
      <c r="D42" s="8" t="inlineStr">
        <is>
          <t>efp_j = chi_j·(q_j + k_j − nw_j) + tsov_j·sov + tbank_j·bank.</t>
        </is>
      </c>
      <c r="E42" s="8" t="inlineStr">
        <is>
          <t>🔴 AZ EGYIK LEGERŐSEBB SZEGMENSDRIVER. A t35 scan szerint a chi-sorrend MEGFORDÍTÁSA megfordítja a szegmenssorrendet (−1,22 pp → +0,74 pp). ⚠ A jelenlegi 0,06/0,06/0,02 pontosan a VISSZAVONT V04 állítás számai (K01 konfliktus).</t>
        </is>
      </c>
      <c r="F42" s="8" t="inlineStr">
        <is>
          <t>PANEL-REGRESSZIÓ: hitelfelár_it = chi·tőkeáttétel_it + cég- és időhatások. A chi a meredekség. Elméletileg a BGG-szerződésből: chi = f(monitoring-költség, csődvalószínűség).</t>
        </is>
      </c>
      <c r="G42" s="8" t="inlineStr">
        <is>
          <t>Cégszintű HITELFELÁR (nem implicit ráta!) + mérlegpozíció, méret szerint, PIACI árazású időszakban.</t>
        </is>
      </c>
      <c r="H42" s="8" t="inlineStr">
        <is>
          <t>0,042–0,067 (Christensen–Dib 2008; BGG-konvenció) — de MÉRET SZERINTI BONTÁS NÉLKÜL. Egyetlen közös chi-t becsül az irodalom.</t>
        </is>
      </c>
      <c r="I42" s="8" t="inlineStr">
        <is>
          <t>❌ MEGPRÓBÁLTUK, NEM SIKERÜLT: a magyar panelen chi_S ≈ +0,002 (erősen attenuált alsó korlát), chi_L pedig egyáltalán nem azonosított (n=230, t=−0,78, rossz előjel). Ok: az implicit ráta mérési hibája (A15) és a programvezéreltség (A04).</t>
        </is>
      </c>
      <c r="J42" s="8" t="inlineStr">
        <is>
          <t>Cégszintű ÚJ-SZERZŐDÉSES hitelkamat (nem állományi implicit ráta) méret szerint, lehetőleg 2015–2020-as, nem programvezérelt időszakra. MNB hitelregiszter.</t>
        </is>
      </c>
      <c r="K42" s="8" t="inlineStr">
        <is>
          <t>⚠ RÉSZBEN — a SZINT átvehető (0,042–0,067), de a MÉRET SZERINTI ARÁNY nem: arra nincs irodalmi alap. Javaslat: szimmetrikus alap + scan.</t>
        </is>
      </c>
      <c r="L42" s="8" t="n">
        <v>0.02</v>
      </c>
      <c r="M42" s="8" t="inlineStr">
        <is>
          <t>D</t>
        </is>
      </c>
      <c r="N42" s="8" t="inlineStr">
        <is>
          <t>horgonyzatlan</t>
        </is>
      </c>
      <c r="O42" s="8" t="inlineStr">
        <is>
          <t>aktív</t>
        </is>
      </c>
      <c r="P42" s="8" t="inlineStr"/>
    </row>
    <row r="43">
      <c r="A43" s="7" t="inlineStr">
        <is>
          <t>lev_E</t>
        </is>
      </c>
      <c r="B43" s="7" t="inlineStr">
        <is>
          <t>Tőkeáttétel</t>
        </is>
      </c>
      <c r="C43" s="7" t="inlineStr">
        <is>
          <t>A tőkeállomány és a nettó vagyon aránya (k/n).</t>
        </is>
      </c>
      <c r="D43" s="7" t="inlineStr">
        <is>
          <t>nw_j = omega·(nw_j(−1) + lev_j·(ret_j − r(−1) + infl)). A hozamrés hatását skálázza.</t>
        </is>
      </c>
      <c r="E43" s="7" t="inlineStr">
        <is>
          <t>🔴 A pénzügyi akcelerátor erőssége típusonként: magasabb lev = erősebb felerősítés.</t>
        </is>
      </c>
      <c r="F43" s="7" t="inlineStr">
        <is>
          <t>lev_j = medián(eszközök összesen / saját tőke). Keresztpróba: 1/(1 − kötelezettségek/eszközök).</t>
        </is>
      </c>
      <c r="G43" s="7" t="inlineStr">
        <is>
          <t>Cégszintű mérleg (eszközök, saját tőke), pozitív saját tőkére szűrve.</t>
        </is>
      </c>
      <c r="H43" s="7" t="inlineStr">
        <is>
          <t>k/n ≈ 2,0 (BGG 1999 konvenció); Christensen–Dib 2008 hasonló.</t>
        </is>
      </c>
      <c r="I43" s="7" t="inlineStr">
        <is>
          <t>✅ MEGVAN — Opten-panel medián: 1,939 (E) / 1,719 (D) / 2,337 (L). A SORREND (L&gt;E&gt;D) mérőfüggetlen; a SZINT mérőfüggő, ezért sávban közöljük (A07, A08). ⚠ Az OPTEN=0 alapág MÉGIS a cáfolt 1,6=1,6-ot futtatja (K02 konfliktus).</t>
        </is>
      </c>
      <c r="J43" s="7" t="inlineStr">
        <is>
          <t>—</t>
        </is>
      </c>
      <c r="K43" s="7" t="inlineStr">
        <is>
          <t>RÉSZBEN — a ~2-es nagyságrend konvencionális, de a méret szerinti sorrend saját mérés.</t>
        </is>
      </c>
      <c r="L43" s="7" t="n">
        <v>1.6</v>
      </c>
      <c r="M43" s="7" t="inlineStr">
        <is>
          <t>A</t>
        </is>
      </c>
      <c r="N43" s="7" t="inlineStr">
        <is>
          <t>horgonyzott</t>
        </is>
      </c>
      <c r="O43" s="7" t="inlineStr">
        <is>
          <t>aktív</t>
        </is>
      </c>
      <c r="P43" s="7" t="inlineStr">
        <is>
          <t>-DOPTEN</t>
        </is>
      </c>
    </row>
    <row r="44">
      <c r="A44" s="7" t="inlineStr">
        <is>
          <t>lev_D</t>
        </is>
      </c>
      <c r="B44" s="7" t="inlineStr">
        <is>
          <t>Tőkeáttétel</t>
        </is>
      </c>
      <c r="C44" s="7" t="inlineStr">
        <is>
          <t>A tőkeállomány és a nettó vagyon aránya (k/n).</t>
        </is>
      </c>
      <c r="D44" s="7" t="inlineStr">
        <is>
          <t>nw_j = omega·(nw_j(−1) + lev_j·(ret_j − r(−1) + infl)). A hozamrés hatását skálázza.</t>
        </is>
      </c>
      <c r="E44" s="7" t="inlineStr">
        <is>
          <t>🔴 A pénzügyi akcelerátor erőssége típusonként: magasabb lev = erősebb felerősítés.</t>
        </is>
      </c>
      <c r="F44" s="7" t="inlineStr">
        <is>
          <t>lev_j = medián(eszközök összesen / saját tőke). Keresztpróba: 1/(1 − kötelezettségek/eszközök).</t>
        </is>
      </c>
      <c r="G44" s="7" t="inlineStr">
        <is>
          <t>Cégszintű mérleg (eszközök, saját tőke), pozitív saját tőkére szűrve.</t>
        </is>
      </c>
      <c r="H44" s="7" t="inlineStr">
        <is>
          <t>k/n ≈ 2,0 (BGG 1999 konvenció); Christensen–Dib 2008 hasonló.</t>
        </is>
      </c>
      <c r="I44" s="7" t="inlineStr">
        <is>
          <t>✅ MEGVAN — Opten-panel medián: 1,939 (E) / 1,719 (D) / 2,337 (L). A SORREND (L&gt;E&gt;D) mérőfüggetlen; a SZINT mérőfüggő, ezért sávban közöljük (A07, A08). ⚠ Az OPTEN=0 alapág MÉGIS a cáfolt 1,6=1,6-ot futtatja (K02 konfliktus).</t>
        </is>
      </c>
      <c r="J44" s="7" t="inlineStr">
        <is>
          <t>—</t>
        </is>
      </c>
      <c r="K44" s="7" t="inlineStr">
        <is>
          <t>RÉSZBEN — a ~2-es nagyságrend konvencionális, de a méret szerinti sorrend saját mérés.</t>
        </is>
      </c>
      <c r="L44" s="7" t="n">
        <v>1.6</v>
      </c>
      <c r="M44" s="7" t="inlineStr">
        <is>
          <t>A</t>
        </is>
      </c>
      <c r="N44" s="7" t="inlineStr">
        <is>
          <t>horgonyzott</t>
        </is>
      </c>
      <c r="O44" s="7" t="inlineStr">
        <is>
          <t>aktív</t>
        </is>
      </c>
      <c r="P44" s="7" t="inlineStr">
        <is>
          <t>-DOPTEN</t>
        </is>
      </c>
    </row>
    <row r="45">
      <c r="A45" s="7" t="inlineStr">
        <is>
          <t>lev_L</t>
        </is>
      </c>
      <c r="B45" s="7" t="inlineStr">
        <is>
          <t>Tőkeáttétel</t>
        </is>
      </c>
      <c r="C45" s="7" t="inlineStr">
        <is>
          <t>A tőkeállomány és a nettó vagyon aránya (k/n).</t>
        </is>
      </c>
      <c r="D45" s="7" t="inlineStr">
        <is>
          <t>nw_j = omega·(nw_j(−1) + lev_j·(ret_j − r(−1) + infl)). A hozamrés hatását skálázza.</t>
        </is>
      </c>
      <c r="E45" s="7" t="inlineStr">
        <is>
          <t>🔴 A pénzügyi akcelerátor erőssége típusonként: magasabb lev = erősebb felerősítés.</t>
        </is>
      </c>
      <c r="F45" s="7" t="inlineStr">
        <is>
          <t>lev_j = medián(eszközök összesen / saját tőke). Keresztpróba: 1/(1 − kötelezettségek/eszközök).</t>
        </is>
      </c>
      <c r="G45" s="7" t="inlineStr">
        <is>
          <t>Cégszintű mérleg (eszközök, saját tőke), pozitív saját tőkére szűrve.</t>
        </is>
      </c>
      <c r="H45" s="7" t="inlineStr">
        <is>
          <t>k/n ≈ 2,0 (BGG 1999 konvenció); Christensen–Dib 2008 hasonló.</t>
        </is>
      </c>
      <c r="I45" s="7" t="inlineStr">
        <is>
          <t>✅ MEGVAN — Opten-panel medián: 1,939 (E) / 1,719 (D) / 2,337 (L). A SORREND (L&gt;E&gt;D) mérőfüggetlen; a SZINT mérőfüggő, ezért sávban közöljük (A07, A08). ⚠ Az OPTEN=0 alapág MÉGIS a cáfolt 1,6=1,6-ot futtatja (K02 konfliktus).</t>
        </is>
      </c>
      <c r="J45" s="7" t="inlineStr">
        <is>
          <t>—</t>
        </is>
      </c>
      <c r="K45" s="7" t="inlineStr">
        <is>
          <t>RÉSZBEN — a ~2-es nagyságrend konvencionális, de a méret szerinti sorrend saját mérés.</t>
        </is>
      </c>
      <c r="L45" s="7" t="n">
        <v>1.85</v>
      </c>
      <c r="M45" s="7" t="inlineStr">
        <is>
          <t>A</t>
        </is>
      </c>
      <c r="N45" s="7" t="inlineStr">
        <is>
          <t>horgonyzott</t>
        </is>
      </c>
      <c r="O45" s="7" t="inlineStr">
        <is>
          <t>aktív</t>
        </is>
      </c>
      <c r="P45" s="7" t="inlineStr">
        <is>
          <t>-DOPTEN</t>
        </is>
      </c>
    </row>
    <row r="46">
      <c r="A46" s="8" t="inlineStr">
        <is>
          <t>psi_E</t>
        </is>
      </c>
      <c r="B46" s="8" t="inlineStr">
        <is>
          <t>Beruházási kiigazítási költség</t>
        </is>
      </c>
      <c r="C46" s="8" t="inlineStr">
        <is>
          <t>A beruházás megváltoztatásának konvex költsége.</t>
        </is>
      </c>
      <c r="D46" s="8" t="inlineStr">
        <is>
          <t>i_j = … + 1/((1+beta)·psi_j)·q_j + omega_acc_j·acc_j. A q hatása 1/psi_j-vel arányos.</t>
        </is>
      </c>
      <c r="E46" s="8" t="inlineStr">
        <is>
          <t>🔴 KÖZVETLEN beruházási aszimmetria: alacsonyabb psi = rugalmasabb beruházás. ⚠ A jelenlegi sorrend (KKV 8 &lt; nagyvállalat 13) a KKV-t teszi rugalmasabbá — az irodalom az ELLENKEZŐJÉT sugallja.</t>
        </is>
      </c>
      <c r="F46" s="8" t="inlineStr">
        <is>
          <t>A beruházási Euler-egyenletből: a beruházás reakciója a Tobin-Q-ra = 1/((1+beta)·psi). Panel-regresszió: Δi_it = (1/((1+beta)psi))·q_it + …</t>
        </is>
      </c>
      <c r="G46" s="8" t="inlineStr">
        <is>
          <t>Cégszintű beruházás + Tobin-Q proxy (piaci/könyv szerinti érték vagy profitabilitás), méret szerint.</t>
        </is>
      </c>
      <c r="H46" s="8" t="inlineStr">
        <is>
          <t>2,5–8,0 (CEE 2005 ≈ 2,48; Smets–Wouters ≈ 5,74) — MÉRET SZERINTI BONTÁS NÉLKÜL. ⚠ A rögös beruházás (Khan–Thomas 2008; Bachmann et al.) szerint a KIS cégek beruházása RÖGÖSEBB, ami inkább psi_S &gt; psi_L-t sugallna.</t>
        </is>
      </c>
      <c r="I46" s="8" t="inlineStr">
        <is>
          <t>❌ NEM PRÓBÁLTUK. Az Opten-panel tartalmaz beruházási adatot, de Q-proxy nélkül.</t>
        </is>
      </c>
      <c r="J46" s="8" t="inlineStr">
        <is>
          <t>Cégszintű beruházási mikrodinamika méret és exportstátusz szerint, Q-proxyval.</t>
        </is>
      </c>
      <c r="K46" s="8" t="inlineStr">
        <is>
          <t>⚠ RÉSZBEN — a szint átvehető, a méret szerinti SORREND nem; sőt az irodalom a jelenlegi ellen szól. KÖTELEZŐ SCAN.</t>
        </is>
      </c>
      <c r="L46" s="8" t="n">
        <v>8</v>
      </c>
      <c r="M46" s="8" t="inlineStr">
        <is>
          <t>D</t>
        </is>
      </c>
      <c r="N46" s="8" t="inlineStr">
        <is>
          <t>horgonyzatlan</t>
        </is>
      </c>
      <c r="O46" s="8" t="inlineStr">
        <is>
          <t>aktív</t>
        </is>
      </c>
      <c r="P46" s="8" t="inlineStr"/>
    </row>
    <row r="47">
      <c r="A47" s="8" t="inlineStr">
        <is>
          <t>psi_D</t>
        </is>
      </c>
      <c r="B47" s="8" t="inlineStr">
        <is>
          <t>Beruházási kiigazítási költség</t>
        </is>
      </c>
      <c r="C47" s="8" t="inlineStr">
        <is>
          <t>A beruházás megváltoztatásának konvex költsége.</t>
        </is>
      </c>
      <c r="D47" s="8" t="inlineStr">
        <is>
          <t>i_j = … + 1/((1+beta)·psi_j)·q_j + omega_acc_j·acc_j. A q hatása 1/psi_j-vel arányos.</t>
        </is>
      </c>
      <c r="E47" s="8" t="inlineStr">
        <is>
          <t>🔴 KÖZVETLEN beruházási aszimmetria: alacsonyabb psi = rugalmasabb beruházás. ⚠ A jelenlegi sorrend (KKV 8 &lt; nagyvállalat 13) a KKV-t teszi rugalmasabbá — az irodalom az ELLENKEZŐJÉT sugallja.</t>
        </is>
      </c>
      <c r="F47" s="8" t="inlineStr">
        <is>
          <t>A beruházási Euler-egyenletből: a beruházás reakciója a Tobin-Q-ra = 1/((1+beta)·psi). Panel-regresszió: Δi_it = (1/((1+beta)psi))·q_it + …</t>
        </is>
      </c>
      <c r="G47" s="8" t="inlineStr">
        <is>
          <t>Cégszintű beruházás + Tobin-Q proxy (piaci/könyv szerinti érték vagy profitabilitás), méret szerint.</t>
        </is>
      </c>
      <c r="H47" s="8" t="inlineStr">
        <is>
          <t>2,5–8,0 (CEE 2005 ≈ 2,48; Smets–Wouters ≈ 5,74) — MÉRET SZERINTI BONTÁS NÉLKÜL. ⚠ A rögös beruházás (Khan–Thomas 2008; Bachmann et al.) szerint a KIS cégek beruházása RÖGÖSEBB, ami inkább psi_S &gt; psi_L-t sugallna.</t>
        </is>
      </c>
      <c r="I47" s="8" t="inlineStr">
        <is>
          <t>❌ NEM PRÓBÁLTUK. Az Opten-panel tartalmaz beruházási adatot, de Q-proxy nélkül.</t>
        </is>
      </c>
      <c r="J47" s="8" t="inlineStr">
        <is>
          <t>Cégszintű beruházási mikrodinamika méret és exportstátusz szerint, Q-proxyval.</t>
        </is>
      </c>
      <c r="K47" s="8" t="inlineStr">
        <is>
          <t>⚠ RÉSZBEN — a szint átvehető, a méret szerinti SORREND nem; sőt az irodalom a jelenlegi ellen szól. KÖTELEZŐ SCAN.</t>
        </is>
      </c>
      <c r="L47" s="8" t="n">
        <v>8</v>
      </c>
      <c r="M47" s="8" t="inlineStr">
        <is>
          <t>D</t>
        </is>
      </c>
      <c r="N47" s="8" t="inlineStr">
        <is>
          <t>horgonyzatlan</t>
        </is>
      </c>
      <c r="O47" s="8" t="inlineStr">
        <is>
          <t>aktív</t>
        </is>
      </c>
      <c r="P47" s="8" t="inlineStr"/>
    </row>
    <row r="48">
      <c r="A48" s="8" t="inlineStr">
        <is>
          <t>psi_L</t>
        </is>
      </c>
      <c r="B48" s="8" t="inlineStr">
        <is>
          <t>Beruházási kiigazítási költség</t>
        </is>
      </c>
      <c r="C48" s="8" t="inlineStr">
        <is>
          <t>A beruházás megváltoztatásának konvex költsége.</t>
        </is>
      </c>
      <c r="D48" s="8" t="inlineStr">
        <is>
          <t>i_j = … + 1/((1+beta)·psi_j)·q_j + omega_acc_j·acc_j. A q hatása 1/psi_j-vel arányos.</t>
        </is>
      </c>
      <c r="E48" s="8" t="inlineStr">
        <is>
          <t>🔴 KÖZVETLEN beruházási aszimmetria: alacsonyabb psi = rugalmasabb beruházás. ⚠ A jelenlegi sorrend (KKV 8 &lt; nagyvállalat 13) a KKV-t teszi rugalmasabbá — az irodalom az ELLENKEZŐJÉT sugallja.</t>
        </is>
      </c>
      <c r="F48" s="8" t="inlineStr">
        <is>
          <t>A beruházási Euler-egyenletből: a beruházás reakciója a Tobin-Q-ra = 1/((1+beta)·psi). Panel-regresszió: Δi_it = (1/((1+beta)psi))·q_it + …</t>
        </is>
      </c>
      <c r="G48" s="8" t="inlineStr">
        <is>
          <t>Cégszintű beruházás + Tobin-Q proxy (piaci/könyv szerinti érték vagy profitabilitás), méret szerint.</t>
        </is>
      </c>
      <c r="H48" s="8" t="inlineStr">
        <is>
          <t>2,5–8,0 (CEE 2005 ≈ 2,48; Smets–Wouters ≈ 5,74) — MÉRET SZERINTI BONTÁS NÉLKÜL. ⚠ A rögös beruházás (Khan–Thomas 2008; Bachmann et al.) szerint a KIS cégek beruházása RÖGÖSEBB, ami inkább psi_S &gt; psi_L-t sugallna.</t>
        </is>
      </c>
      <c r="I48" s="8" t="inlineStr">
        <is>
          <t>❌ NEM PRÓBÁLTUK. Az Opten-panel tartalmaz beruházási adatot, de Q-proxy nélkül.</t>
        </is>
      </c>
      <c r="J48" s="8" t="inlineStr">
        <is>
          <t>Cégszintű beruházási mikrodinamika méret és exportstátusz szerint, Q-proxyval.</t>
        </is>
      </c>
      <c r="K48" s="8" t="inlineStr">
        <is>
          <t>⚠ RÉSZBEN — a szint átvehető, a méret szerinti SORREND nem; sőt az irodalom a jelenlegi ellen szól. KÖTELEZŐ SCAN.</t>
        </is>
      </c>
      <c r="L48" s="8" t="n">
        <v>13</v>
      </c>
      <c r="M48" s="8" t="inlineStr">
        <is>
          <t>D</t>
        </is>
      </c>
      <c r="N48" s="8" t="inlineStr">
        <is>
          <t>horgonyzatlan</t>
        </is>
      </c>
      <c r="O48" s="8" t="inlineStr">
        <is>
          <t>aktív</t>
        </is>
      </c>
      <c r="P48" s="8" t="inlineStr"/>
    </row>
    <row r="49">
      <c r="A49" s="8" t="inlineStr">
        <is>
          <t>tsov_E</t>
        </is>
      </c>
      <c r="B49" s="8" t="inlineStr">
        <is>
          <t>Szuverén felár átgyűrűzése a vállalati felárba</t>
        </is>
      </c>
      <c r="C49" s="8" t="inlineStr">
        <is>
          <t>A szuverén sokk hányad része jelenik meg a típus finanszírozási felárában.</t>
        </is>
      </c>
      <c r="D49" s="8" t="inlineStr">
        <is>
          <t>efp_j = … + tsov_j·sov + …</t>
        </is>
      </c>
      <c r="E49" s="8" t="inlineStr">
        <is>
          <t>🔴 CSAK DIFFERENCIÁLT ÁGBAN. A TSCEN=3 alapágban mindhárom típus 0,175-öt kap, tehát NEM épít be méretkülönbséget. A TSCEN=1/2 exogén módon KKV- vagy nagyvállalati előnyt ad.</t>
        </is>
      </c>
      <c r="F49" s="8" t="inlineStr">
        <is>
          <t>REGRESSZIÓ: Δ(vállalati hitelkamat_j) = tsov_j·Δ(szuverén felár) + tbank_j·Δ(bankközi ráta) + kontrollok, MÉRET SZERINT külön.</t>
        </is>
      </c>
      <c r="G49" s="8" t="inlineStr">
        <is>
          <t>Méret szerinti új-szerződéses vállalati hitelkamat + szuverén felár, hosszabb idősoron.</t>
        </is>
      </c>
      <c r="H49" s="8" t="inlineStr">
        <is>
          <t>Nincs bevett szint. SZERKEZETI TÁMOGATÁS: Bottero–Lenzu–Mezzanotti (JIE 2018) szerint a szuverén sokk MENNYISÉGI átgyűrűzése méret-semleges, a REÁLHATÁS viszont nem — ez épp a jelenlegi modellszerkezetet igazolja.</t>
        </is>
      </c>
      <c r="I49" s="8" t="inlineStr">
        <is>
          <t>❌ MEGPRÓBÁLTUK (t25/t25b): mind a négy specifikációban a NAGYVÁLLALATI átgyűrűzés magasabb, de EGYIK SEM szignifikáns (minden CI tartalmazza a nullát).</t>
        </is>
      </c>
      <c r="J49" s="8" t="inlineStr">
        <is>
          <t>MNB új-szerződéses vállalati kamatstatisztika cellaszinten (méret × összeg × fixálás × futamidő + volumenek, 2015–2024).</t>
        </is>
      </c>
      <c r="K49" s="8" t="inlineStr">
        <is>
          <t>NEM — és a semleges (TSCEN=3) alapértelmezés a védhető választás.</t>
        </is>
      </c>
      <c r="L49" s="8" t="n">
        <v>0.175</v>
      </c>
      <c r="M49" s="8" t="inlineStr">
        <is>
          <t>D</t>
        </is>
      </c>
      <c r="N49" s="8" t="inlineStr">
        <is>
          <t>horgonyzatlan</t>
        </is>
      </c>
      <c r="O49" s="8" t="inlineStr">
        <is>
          <t>aktív</t>
        </is>
      </c>
      <c r="P49" s="8" t="inlineStr"/>
    </row>
    <row r="50">
      <c r="A50" s="8" t="inlineStr">
        <is>
          <t>tsov_D</t>
        </is>
      </c>
      <c r="B50" s="8" t="inlineStr">
        <is>
          <t>Szuverén felár átgyűrűzése a vállalati felárba</t>
        </is>
      </c>
      <c r="C50" s="8" t="inlineStr">
        <is>
          <t>A szuverén sokk hányad része jelenik meg a típus finanszírozási felárában.</t>
        </is>
      </c>
      <c r="D50" s="8" t="inlineStr">
        <is>
          <t>efp_j = … + tsov_j·sov + …</t>
        </is>
      </c>
      <c r="E50" s="8" t="inlineStr">
        <is>
          <t>🔴 CSAK DIFFERENCIÁLT ÁGBAN. A TSCEN=3 alapágban mindhárom típus 0,175-öt kap, tehát NEM épít be méretkülönbséget. A TSCEN=1/2 exogén módon KKV- vagy nagyvállalati előnyt ad.</t>
        </is>
      </c>
      <c r="F50" s="8" t="inlineStr">
        <is>
          <t>REGRESSZIÓ: Δ(vállalati hitelkamat_j) = tsov_j·Δ(szuverén felár) + tbank_j·Δ(bankközi ráta) + kontrollok, MÉRET SZERINT külön.</t>
        </is>
      </c>
      <c r="G50" s="8" t="inlineStr">
        <is>
          <t>Méret szerinti új-szerződéses vállalati hitelkamat + szuverén felár, hosszabb idősoron.</t>
        </is>
      </c>
      <c r="H50" s="8" t="inlineStr">
        <is>
          <t>Nincs bevett szint. SZERKEZETI TÁMOGATÁS: Bottero–Lenzu–Mezzanotti (JIE 2018) szerint a szuverén sokk MENNYISÉGI átgyűrűzése méret-semleges, a REÁLHATÁS viszont nem — ez épp a jelenlegi modellszerkezetet igazolja.</t>
        </is>
      </c>
      <c r="I50" s="8" t="inlineStr">
        <is>
          <t>❌ MEGPRÓBÁLTUK (t25/t25b): mind a négy specifikációban a NAGYVÁLLALATI átgyűrűzés magasabb, de EGYIK SEM szignifikáns (minden CI tartalmazza a nullát).</t>
        </is>
      </c>
      <c r="J50" s="8" t="inlineStr">
        <is>
          <t>MNB új-szerződéses vállalati kamatstatisztika cellaszinten (méret × összeg × fixálás × futamidő + volumenek, 2015–2024).</t>
        </is>
      </c>
      <c r="K50" s="8" t="inlineStr">
        <is>
          <t>NEM — és a semleges (TSCEN=3) alapértelmezés a védhető választás.</t>
        </is>
      </c>
      <c r="L50" s="8" t="n">
        <v>0.175</v>
      </c>
      <c r="M50" s="8" t="inlineStr">
        <is>
          <t>D</t>
        </is>
      </c>
      <c r="N50" s="8" t="inlineStr">
        <is>
          <t>horgonyzatlan</t>
        </is>
      </c>
      <c r="O50" s="8" t="inlineStr">
        <is>
          <t>aktív</t>
        </is>
      </c>
      <c r="P50" s="8" t="inlineStr"/>
    </row>
    <row r="51">
      <c r="A51" s="8" t="inlineStr">
        <is>
          <t>tsov_L</t>
        </is>
      </c>
      <c r="B51" s="8" t="inlineStr">
        <is>
          <t>Szuverén felár átgyűrűzése a vállalati felárba</t>
        </is>
      </c>
      <c r="C51" s="8" t="inlineStr">
        <is>
          <t>A szuverén sokk hányad része jelenik meg a típus finanszírozási felárában.</t>
        </is>
      </c>
      <c r="D51" s="8" t="inlineStr">
        <is>
          <t>efp_j = … + tsov_j·sov + …</t>
        </is>
      </c>
      <c r="E51" s="8" t="inlineStr">
        <is>
          <t>🔴 CSAK DIFFERENCIÁLT ÁGBAN. A TSCEN=3 alapágban mindhárom típus 0,175-öt kap, tehát NEM épít be méretkülönbséget. A TSCEN=1/2 exogén módon KKV- vagy nagyvállalati előnyt ad.</t>
        </is>
      </c>
      <c r="F51" s="8" t="inlineStr">
        <is>
          <t>REGRESSZIÓ: Δ(vállalati hitelkamat_j) = tsov_j·Δ(szuverén felár) + tbank_j·Δ(bankközi ráta) + kontrollok, MÉRET SZERINT külön.</t>
        </is>
      </c>
      <c r="G51" s="8" t="inlineStr">
        <is>
          <t>Méret szerinti új-szerződéses vállalati hitelkamat + szuverén felár, hosszabb idősoron.</t>
        </is>
      </c>
      <c r="H51" s="8" t="inlineStr">
        <is>
          <t>Nincs bevett szint. SZERKEZETI TÁMOGATÁS: Bottero–Lenzu–Mezzanotti (JIE 2018) szerint a szuverén sokk MENNYISÉGI átgyűrűzése méret-semleges, a REÁLHATÁS viszont nem — ez épp a jelenlegi modellszerkezetet igazolja.</t>
        </is>
      </c>
      <c r="I51" s="8" t="inlineStr">
        <is>
          <t>❌ MEGPRÓBÁLTUK (t25/t25b): mind a négy specifikációban a NAGYVÁLLALATI átgyűrűzés magasabb, de EGYIK SEM szignifikáns (minden CI tartalmazza a nullát).</t>
        </is>
      </c>
      <c r="J51" s="8" t="inlineStr">
        <is>
          <t>MNB új-szerződéses vállalati kamatstatisztika cellaszinten (méret × összeg × fixálás × futamidő + volumenek, 2015–2024).</t>
        </is>
      </c>
      <c r="K51" s="8" t="inlineStr">
        <is>
          <t>NEM — és a semleges (TSCEN=3) alapértelmezés a védhető választás.</t>
        </is>
      </c>
      <c r="L51" s="8" t="n">
        <v>0.175</v>
      </c>
      <c r="M51" s="8" t="inlineStr">
        <is>
          <t>D</t>
        </is>
      </c>
      <c r="N51" s="8" t="inlineStr">
        <is>
          <t>horgonyzatlan</t>
        </is>
      </c>
      <c r="O51" s="8" t="inlineStr">
        <is>
          <t>aktív</t>
        </is>
      </c>
      <c r="P51" s="8" t="inlineStr"/>
    </row>
    <row r="52">
      <c r="A52" s="8" t="inlineStr">
        <is>
          <t>tbank_E</t>
        </is>
      </c>
      <c r="B52" s="8" t="inlineStr">
        <is>
          <t>Banki forrásköltség átgyűrűzése a vállalati felárba</t>
        </is>
      </c>
      <c r="C52" s="8" t="inlineStr">
        <is>
          <t>A banki sokk hányad része jelenik meg a típus felárában.</t>
        </is>
      </c>
      <c r="D52" s="8" t="inlineStr">
        <is>
          <t>efp_j = … + tbank_j·bank.</t>
        </is>
      </c>
      <c r="E52" s="8" t="inlineStr">
        <is>
          <t>🔴 CSAK DIFFERENCIÁLT ÁGBAN — az alapág méret-semleges (0,45 mindhárom típusnak).</t>
        </is>
      </c>
      <c r="F52" s="8" t="inlineStr">
        <is>
          <t>Mint a tsov_j, a bankközi ráta együtthatója a méret szerinti kamatregresszióban.</t>
        </is>
      </c>
      <c r="G52" s="8" t="inlineStr">
        <is>
          <t>Ugyanaz, mint a tsov_j.</t>
        </is>
      </c>
      <c r="H52" s="8" t="inlineStr">
        <is>
          <t>⚠ VAN IRODALOM, ÉS ELLENTMOND A SAJÁT MÉRÉSÜNKNEK: Horváth–Kotlebová–Širaňová (JFS 2018, 36:12–21) szerint a kamattranszmisszió CSAK a kisvállalati hitelekre teljes, minden más kategóriára hiányos.</t>
        </is>
      </c>
      <c r="I52" s="8" t="inlineStr">
        <is>
          <t>❌ Lásd tsov_j (t25/t25b) — a magyar pontbecslés az ELLENKEZŐ irányba mutat, nem szignifikánsan.</t>
        </is>
      </c>
      <c r="J52" s="8" t="inlineStr">
        <is>
          <t>Ugyanaz, mint a tsov_j: MNB új-szerződéses kamatstatisztika.</t>
        </is>
      </c>
      <c r="K52" s="8" t="inlineStr">
        <is>
          <t>NEM — az irodalom és a magyar adat ELLENTÉTES irányba mutat (F06), ezért a semleges alapértelmezés a helyes.</t>
        </is>
      </c>
      <c r="L52" s="8" t="n">
        <v>0.45</v>
      </c>
      <c r="M52" s="8" t="inlineStr">
        <is>
          <t>D</t>
        </is>
      </c>
      <c r="N52" s="8" t="inlineStr">
        <is>
          <t>horgonyzatlan</t>
        </is>
      </c>
      <c r="O52" s="8" t="inlineStr">
        <is>
          <t>aktív</t>
        </is>
      </c>
      <c r="P52" s="8" t="inlineStr"/>
    </row>
    <row r="53">
      <c r="A53" s="8" t="inlineStr">
        <is>
          <t>tbank_D</t>
        </is>
      </c>
      <c r="B53" s="8" t="inlineStr">
        <is>
          <t>Banki forrásköltség átgyűrűzése a vállalati felárba</t>
        </is>
      </c>
      <c r="C53" s="8" t="inlineStr">
        <is>
          <t>A banki sokk hányad része jelenik meg a típus felárában.</t>
        </is>
      </c>
      <c r="D53" s="8" t="inlineStr">
        <is>
          <t>efp_j = … + tbank_j·bank.</t>
        </is>
      </c>
      <c r="E53" s="8" t="inlineStr">
        <is>
          <t>🔴 CSAK DIFFERENCIÁLT ÁGBAN — az alapág méret-semleges (0,45 mindhárom típusnak).</t>
        </is>
      </c>
      <c r="F53" s="8" t="inlineStr">
        <is>
          <t>Mint a tsov_j, a bankközi ráta együtthatója a méret szerinti kamatregresszióban.</t>
        </is>
      </c>
      <c r="G53" s="8" t="inlineStr">
        <is>
          <t>Ugyanaz, mint a tsov_j.</t>
        </is>
      </c>
      <c r="H53" s="8" t="inlineStr">
        <is>
          <t>⚠ VAN IRODALOM, ÉS ELLENTMOND A SAJÁT MÉRÉSÜNKNEK: Horváth–Kotlebová–Širaňová (JFS 2018, 36:12–21) szerint a kamattranszmisszió CSAK a kisvállalati hitelekre teljes, minden más kategóriára hiányos.</t>
        </is>
      </c>
      <c r="I53" s="8" t="inlineStr">
        <is>
          <t>❌ Lásd tsov_j (t25/t25b) — a magyar pontbecslés az ELLENKEZŐ irányba mutat, nem szignifikánsan.</t>
        </is>
      </c>
      <c r="J53" s="8" t="inlineStr">
        <is>
          <t>Ugyanaz, mint a tsov_j: MNB új-szerződéses kamatstatisztika.</t>
        </is>
      </c>
      <c r="K53" s="8" t="inlineStr">
        <is>
          <t>NEM — az irodalom és a magyar adat ELLENTÉTES irányba mutat (F06), ezért a semleges alapértelmezés a helyes.</t>
        </is>
      </c>
      <c r="L53" s="8" t="n">
        <v>0.45</v>
      </c>
      <c r="M53" s="8" t="inlineStr">
        <is>
          <t>D</t>
        </is>
      </c>
      <c r="N53" s="8" t="inlineStr">
        <is>
          <t>horgonyzatlan</t>
        </is>
      </c>
      <c r="O53" s="8" t="inlineStr">
        <is>
          <t>aktív</t>
        </is>
      </c>
      <c r="P53" s="8" t="inlineStr"/>
    </row>
    <row r="54">
      <c r="A54" s="8" t="inlineStr">
        <is>
          <t>tbank_L</t>
        </is>
      </c>
      <c r="B54" s="8" t="inlineStr">
        <is>
          <t>Banki forrásköltség átgyűrűzése a vállalati felárba</t>
        </is>
      </c>
      <c r="C54" s="8" t="inlineStr">
        <is>
          <t>A banki sokk hányad része jelenik meg a típus felárában.</t>
        </is>
      </c>
      <c r="D54" s="8" t="inlineStr">
        <is>
          <t>efp_j = … + tbank_j·bank.</t>
        </is>
      </c>
      <c r="E54" s="8" t="inlineStr">
        <is>
          <t>🔴 CSAK DIFFERENCIÁLT ÁGBAN — az alapág méret-semleges (0,45 mindhárom típusnak).</t>
        </is>
      </c>
      <c r="F54" s="8" t="inlineStr">
        <is>
          <t>Mint a tsov_j, a bankközi ráta együtthatója a méret szerinti kamatregresszióban.</t>
        </is>
      </c>
      <c r="G54" s="8" t="inlineStr">
        <is>
          <t>Ugyanaz, mint a tsov_j.</t>
        </is>
      </c>
      <c r="H54" s="8" t="inlineStr">
        <is>
          <t>⚠ VAN IRODALOM, ÉS ELLENTMOND A SAJÁT MÉRÉSÜNKNEK: Horváth–Kotlebová–Širaňová (JFS 2018, 36:12–21) szerint a kamattranszmisszió CSAK a kisvállalati hitelekre teljes, minden más kategóriára hiányos.</t>
        </is>
      </c>
      <c r="I54" s="8" t="inlineStr">
        <is>
          <t>❌ Lásd tsov_j (t25/t25b) — a magyar pontbecslés az ELLENKEZŐ irányba mutat, nem szignifikánsan.</t>
        </is>
      </c>
      <c r="J54" s="8" t="inlineStr">
        <is>
          <t>Ugyanaz, mint a tsov_j: MNB új-szerződéses kamatstatisztika.</t>
        </is>
      </c>
      <c r="K54" s="8" t="inlineStr">
        <is>
          <t>NEM — az irodalom és a magyar adat ELLENTÉTES irányba mutat (F06), ezért a semleges alapértelmezés a helyes.</t>
        </is>
      </c>
      <c r="L54" s="8" t="n">
        <v>0.45</v>
      </c>
      <c r="M54" s="8" t="inlineStr">
        <is>
          <t>D</t>
        </is>
      </c>
      <c r="N54" s="8" t="inlineStr">
        <is>
          <t>horgonyzatlan</t>
        </is>
      </c>
      <c r="O54" s="8" t="inlineStr">
        <is>
          <t>aktív</t>
        </is>
      </c>
      <c r="P54" s="8" t="inlineStr"/>
    </row>
    <row r="55">
      <c r="A55" s="7" t="inlineStr">
        <is>
          <t>wd_E</t>
        </is>
      </c>
      <c r="B55" s="7" t="inlineStr">
        <is>
          <t>Hazai értékesítési súly</t>
        </is>
      </c>
      <c r="C55" s="7" t="inlineStr">
        <is>
          <t>SZÁRMAZTATOTT — nem szabad paraméter, más paraméterekből számolódik.</t>
        </is>
      </c>
      <c r="D55" s="7" t="inlineStr">
        <is>
          <t>A hazai határköltség és a relatívár-normalizálás súlya.</t>
        </is>
      </c>
      <c r="E55" s="7" t="inlineStr">
        <is>
          <t>🔵/🟡 ⚠ ÖRÖKÖLT BIZONYTALANSÁG: az om_j (feltételes) és a phi_j (feltételes) hibáját viszi tovább.</t>
        </is>
      </c>
      <c r="F55" s="7" t="inlineStr">
        <is>
          <t>wd_j = om_j(1−phi_j) / Σ_k om_k(1−phi_k)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SZÁRMAZTATOTT — az inputjai határozzák meg.</t>
        </is>
      </c>
      <c r="J55" s="7" t="inlineStr">
        <is>
          <t>—</t>
        </is>
      </c>
      <c r="K55" s="7" t="inlineStr">
        <is>
          <t>—</t>
        </is>
      </c>
      <c r="L55" s="7" t="n">
        <v>0.110545048503036</v>
      </c>
      <c r="M55" s="7" t="inlineStr">
        <is>
          <t>E</t>
        </is>
      </c>
      <c r="N55" s="7" t="inlineStr">
        <is>
          <t>származtatott</t>
        </is>
      </c>
      <c r="O55" s="7" t="inlineStr">
        <is>
          <t>örökölt: om_j (feltételes) + phi_j (feltételes)</t>
        </is>
      </c>
      <c r="P55" s="7" t="inlineStr"/>
    </row>
    <row r="56">
      <c r="A56" s="7" t="inlineStr">
        <is>
          <t>wd_D</t>
        </is>
      </c>
      <c r="B56" s="7" t="inlineStr">
        <is>
          <t>Hazai értékesítési súly</t>
        </is>
      </c>
      <c r="C56" s="7" t="inlineStr">
        <is>
          <t>SZÁRMAZTATOTT — nem szabad paraméter, más paraméterekből számolódik.</t>
        </is>
      </c>
      <c r="D56" s="7" t="inlineStr">
        <is>
          <t>A hazai határköltség és a relatívár-normalizálás súlya.</t>
        </is>
      </c>
      <c r="E56" s="7" t="inlineStr">
        <is>
          <t>🔵/🟡 ⚠ ÖRÖKÖLT BIZONYTALANSÁG: az om_j (feltételes) és a phi_j (feltételes) hibáját viszi tovább.</t>
        </is>
      </c>
      <c r="F56" s="7" t="inlineStr">
        <is>
          <t>wd_j = om_j(1−phi_j) / Σ_k om_k(1−phi_k)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SZÁRMAZTATOTT — az inputjai határozzák meg.</t>
        </is>
      </c>
      <c r="J56" s="7" t="inlineStr">
        <is>
          <t>—</t>
        </is>
      </c>
      <c r="K56" s="7" t="inlineStr">
        <is>
          <t>—</t>
        </is>
      </c>
      <c r="L56" s="7" t="n">
        <v>0.490613441272943</v>
      </c>
      <c r="M56" s="7" t="inlineStr">
        <is>
          <t>E</t>
        </is>
      </c>
      <c r="N56" s="7" t="inlineStr">
        <is>
          <t>származtatott</t>
        </is>
      </c>
      <c r="O56" s="7" t="inlineStr">
        <is>
          <t>örökölt: om_j (feltételes) + phi_j (feltételes)</t>
        </is>
      </c>
      <c r="P56" s="7" t="inlineStr"/>
    </row>
    <row r="57">
      <c r="A57" s="7" t="inlineStr">
        <is>
          <t>wd_L</t>
        </is>
      </c>
      <c r="B57" s="7" t="inlineStr">
        <is>
          <t>Hazai értékesítési súly</t>
        </is>
      </c>
      <c r="C57" s="7" t="inlineStr">
        <is>
          <t>SZÁRMAZTATOTT — nem szabad paraméter, más paraméterekből számolódik.</t>
        </is>
      </c>
      <c r="D57" s="7" t="inlineStr">
        <is>
          <t>A hazai határköltség és a relatívár-normalizálás súlya.</t>
        </is>
      </c>
      <c r="E57" s="7" t="inlineStr">
        <is>
          <t>🔵/🟡 ⚠ ÖRÖKÖLT BIZONYTALANSÁG: az om_j (feltételes) és a phi_j (feltételes) hibáját viszi tovább.</t>
        </is>
      </c>
      <c r="F57" s="7" t="inlineStr">
        <is>
          <t>wd_j = om_j(1−phi_j) / Σ_k om_k(1−phi_k)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SZÁRMAZTATOTT — az inputjai határozzák meg.</t>
        </is>
      </c>
      <c r="J57" s="7" t="inlineStr">
        <is>
          <t>—</t>
        </is>
      </c>
      <c r="K57" s="7" t="inlineStr">
        <is>
          <t>—</t>
        </is>
      </c>
      <c r="L57" s="7" t="n">
        <v>0.398841510224021</v>
      </c>
      <c r="M57" s="7" t="inlineStr">
        <is>
          <t>E</t>
        </is>
      </c>
      <c r="N57" s="7" t="inlineStr">
        <is>
          <t>származtatott</t>
        </is>
      </c>
      <c r="O57" s="7" t="inlineStr">
        <is>
          <t>örökölt: om_j (feltételes) + phi_j (feltételes)</t>
        </is>
      </c>
      <c r="P57" s="7" t="inlineStr"/>
    </row>
    <row r="58">
      <c r="A58" s="7" t="inlineStr">
        <is>
          <t>wx_E</t>
        </is>
      </c>
      <c r="B58" s="7" t="inlineStr">
        <is>
          <t>Export értékesítési súly</t>
        </is>
      </c>
      <c r="C58" s="7" t="inlineStr">
        <is>
          <t>SZÁRMAZTATOTT — nem szabad paraméter, más paraméterekből számolódik.</t>
        </is>
      </c>
      <c r="D58" s="7" t="inlineStr">
        <is>
          <t>Az exportár és -mennyiség aggregációs súlya.</t>
        </is>
      </c>
      <c r="E58" s="7" t="inlineStr">
        <is>
          <t>🔵/🟡 ⚠ ÖRÖKÖLT: om_j és phi_j. Az exportoldali KKV/nagyvállalat összetételt ÉRDEMBEN mozgatja.</t>
        </is>
      </c>
      <c r="F58" s="7" t="inlineStr">
        <is>
          <t>wx_j = om_j·phi_j / Σ_k om_k·phi_k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SZÁRMAZTATOTT.</t>
        </is>
      </c>
      <c r="J58" s="7" t="inlineStr">
        <is>
          <t>—</t>
        </is>
      </c>
      <c r="K58" s="7" t="inlineStr">
        <is>
          <t>—</t>
        </is>
      </c>
      <c r="L58" s="7" t="n">
        <v>0.355492858402398</v>
      </c>
      <c r="M58" s="7" t="inlineStr">
        <is>
          <t>E</t>
        </is>
      </c>
      <c r="N58" s="7" t="inlineStr">
        <is>
          <t>származtatott</t>
        </is>
      </c>
      <c r="O58" s="7" t="inlineStr">
        <is>
          <t>örökölt: om_j (feltételes) + phi_j (feltételes)</t>
        </is>
      </c>
      <c r="P58" s="7" t="inlineStr"/>
    </row>
    <row r="59">
      <c r="A59" s="7" t="inlineStr">
        <is>
          <t>wx_D</t>
        </is>
      </c>
      <c r="B59" s="7" t="inlineStr">
        <is>
          <t>Export értékesítési súly</t>
        </is>
      </c>
      <c r="C59" s="7" t="inlineStr">
        <is>
          <t>SZÁRMAZTATOTT — nem szabad paraméter, más paraméterekből számolódik.</t>
        </is>
      </c>
      <c r="D59" s="7" t="inlineStr">
        <is>
          <t>Az exportár és -mennyiség aggregációs súlya.</t>
        </is>
      </c>
      <c r="E59" s="7" t="inlineStr">
        <is>
          <t>🔵/🟡 ⚠ ÖRÖKÖLT: om_j és phi_j. Az exportoldali KKV/nagyvállalat összetételt ÉRDEMBEN mozgatja.</t>
        </is>
      </c>
      <c r="F59" s="7" t="inlineStr">
        <is>
          <t>wx_j = om_j·phi_j / Σ_k om_k·phi_k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SZÁRMAZTATOTT.</t>
        </is>
      </c>
      <c r="J59" s="7" t="inlineStr">
        <is>
          <t>—</t>
        </is>
      </c>
      <c r="K59" s="7" t="inlineStr">
        <is>
          <t>—</t>
        </is>
      </c>
      <c r="L59" s="7" t="n">
        <v>0.06524422500440839</v>
      </c>
      <c r="M59" s="7" t="inlineStr">
        <is>
          <t>E</t>
        </is>
      </c>
      <c r="N59" s="7" t="inlineStr">
        <is>
          <t>származtatott</t>
        </is>
      </c>
      <c r="O59" s="7" t="inlineStr">
        <is>
          <t>örökölt: om_j (feltételes) + phi_j (feltételes)</t>
        </is>
      </c>
      <c r="P59" s="7" t="inlineStr"/>
    </row>
    <row r="60">
      <c r="A60" s="7" t="inlineStr">
        <is>
          <t>wx_L</t>
        </is>
      </c>
      <c r="B60" s="7" t="inlineStr">
        <is>
          <t>Export értékesítési súly</t>
        </is>
      </c>
      <c r="C60" s="7" t="inlineStr">
        <is>
          <t>SZÁRMAZTATOTT — nem szabad paraméter, más paraméterekből számolódik.</t>
        </is>
      </c>
      <c r="D60" s="7" t="inlineStr">
        <is>
          <t>Az exportár és -mennyiség aggregációs súlya.</t>
        </is>
      </c>
      <c r="E60" s="7" t="inlineStr">
        <is>
          <t>🔵/🟡 ⚠ ÖRÖKÖLT: om_j és phi_j. Az exportoldali KKV/nagyvállalat összetételt ÉRDEMBEN mozgatja.</t>
        </is>
      </c>
      <c r="F60" s="7" t="inlineStr">
        <is>
          <t>wx_j = om_j·phi_j / Σ_k om_k·phi_k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SZÁRMAZTATOTT.</t>
        </is>
      </c>
      <c r="J60" s="7" t="inlineStr">
        <is>
          <t>—</t>
        </is>
      </c>
      <c r="K60" s="7" t="inlineStr">
        <is>
          <t>—</t>
        </is>
      </c>
      <c r="L60" s="7" t="n">
        <v>0.579262916593193</v>
      </c>
      <c r="M60" s="7" t="inlineStr">
        <is>
          <t>E</t>
        </is>
      </c>
      <c r="N60" s="7" t="inlineStr">
        <is>
          <t>származtatott</t>
        </is>
      </c>
      <c r="O60" s="7" t="inlineStr">
        <is>
          <t>örökölt: om_j (feltételes) + phi_j (feltételes)</t>
        </is>
      </c>
      <c r="P60" s="7" t="inlineStr"/>
    </row>
    <row r="61">
      <c r="A61" s="7" t="inlineStr">
        <is>
          <t>shl_E</t>
        </is>
      </c>
      <c r="B61" s="7" t="inlineStr">
        <is>
          <t>Foglalkoztatási súly</t>
        </is>
      </c>
      <c r="C61" s="7" t="inlineStr">
        <is>
          <t>A típus részesedése az aggregált munkakeresletből.</t>
        </is>
      </c>
      <c r="D61" s="7" t="inlineStr">
        <is>
          <t>Az aggregált ll súlyai; a bér–fogyasztás visszacsatolás.</t>
        </is>
      </c>
      <c r="E61" s="7" t="inlineStr">
        <is>
          <t>🔵 Az aggregált munkapiaci visszacsatolás; az egyedi l_j-t nem közvetlenül hajtja.</t>
        </is>
      </c>
      <c r="F61" s="7" t="inlineStr">
        <is>
          <t>shl_j = a típus foglalkoztatottjai / összes foglalkoztatott.</t>
        </is>
      </c>
      <c r="G61" s="7" t="inlineStr">
        <is>
          <t>Cégszintű létszámadat méret és exportstátusz szerint.</t>
        </is>
      </c>
      <c r="H61" s="7" t="inlineStr">
        <is>
          <t>Nincs irodalmi érték.</t>
        </is>
      </c>
      <c r="I61" s="7" t="inlineStr">
        <is>
          <t>⚠ FELTÉTELES — megvan (0,1566/0,3775/0,4659), de csak a 10+ fős körre.</t>
        </is>
      </c>
      <c r="J61" s="7" t="inlineStr">
        <is>
          <t>Lásd om_j: SBS mikrokör-bontás.</t>
        </is>
      </c>
      <c r="K61" s="7" t="inlineStr">
        <is>
          <t>NEM.</t>
        </is>
      </c>
      <c r="L61" s="7" t="n">
        <v>0.2</v>
      </c>
      <c r="M61" s="7" t="inlineStr">
        <is>
          <t>A</t>
        </is>
      </c>
      <c r="N61" s="7" t="inlineStr">
        <is>
          <t>feltételes</t>
        </is>
      </c>
      <c r="O61" s="7" t="inlineStr">
        <is>
          <t>aktív</t>
        </is>
      </c>
      <c r="P61" s="7" t="inlineStr">
        <is>
          <t>-DOPTEN</t>
        </is>
      </c>
    </row>
    <row r="62">
      <c r="A62" s="7" t="inlineStr">
        <is>
          <t>shl_D</t>
        </is>
      </c>
      <c r="B62" s="7" t="inlineStr">
        <is>
          <t>Foglalkoztatási súly</t>
        </is>
      </c>
      <c r="C62" s="7" t="inlineStr">
        <is>
          <t>A típus részesedése az aggregált munkakeresletből.</t>
        </is>
      </c>
      <c r="D62" s="7" t="inlineStr">
        <is>
          <t>Az aggregált ll súlyai; a bér–fogyasztás visszacsatolás.</t>
        </is>
      </c>
      <c r="E62" s="7" t="inlineStr">
        <is>
          <t>🔵 Az aggregált munkapiaci visszacsatolás; az egyedi l_j-t nem közvetlenül hajtja.</t>
        </is>
      </c>
      <c r="F62" s="7" t="inlineStr">
        <is>
          <t>shl_j = a típus foglalkoztatottjai / összes foglalkoztatott.</t>
        </is>
      </c>
      <c r="G62" s="7" t="inlineStr">
        <is>
          <t>Cégszintű létszámadat méret és exportstátusz szerint.</t>
        </is>
      </c>
      <c r="H62" s="7" t="inlineStr">
        <is>
          <t>Nincs irodalmi érték.</t>
        </is>
      </c>
      <c r="I62" s="7" t="inlineStr">
        <is>
          <t>⚠ FELTÉTELES — megvan (0,1566/0,3775/0,4659), de csak a 10+ fős körre.</t>
        </is>
      </c>
      <c r="J62" s="7" t="inlineStr">
        <is>
          <t>Lásd om_j: SBS mikrokör-bontás.</t>
        </is>
      </c>
      <c r="K62" s="7" t="inlineStr">
        <is>
          <t>NEM.</t>
        </is>
      </c>
      <c r="L62" s="7" t="n">
        <v>0.5</v>
      </c>
      <c r="M62" s="7" t="inlineStr">
        <is>
          <t>A</t>
        </is>
      </c>
      <c r="N62" s="7" t="inlineStr">
        <is>
          <t>feltételes</t>
        </is>
      </c>
      <c r="O62" s="7" t="inlineStr">
        <is>
          <t>aktív</t>
        </is>
      </c>
      <c r="P62" s="7" t="inlineStr">
        <is>
          <t>-DOPTEN</t>
        </is>
      </c>
    </row>
    <row r="63">
      <c r="A63" s="7" t="inlineStr">
        <is>
          <t>shl_L</t>
        </is>
      </c>
      <c r="B63" s="7" t="inlineStr">
        <is>
          <t>Foglalkoztatási súly</t>
        </is>
      </c>
      <c r="C63" s="7" t="inlineStr">
        <is>
          <t>A típus részesedése az aggregált munkakeresletből.</t>
        </is>
      </c>
      <c r="D63" s="7" t="inlineStr">
        <is>
          <t>Az aggregált ll súlyai; a bér–fogyasztás visszacsatolás.</t>
        </is>
      </c>
      <c r="E63" s="7" t="inlineStr">
        <is>
          <t>🔵 Az aggregált munkapiaci visszacsatolás; az egyedi l_j-t nem közvetlenül hajtja.</t>
        </is>
      </c>
      <c r="F63" s="7" t="inlineStr">
        <is>
          <t>shl_j = a típus foglalkoztatottjai / összes foglalkoztatott.</t>
        </is>
      </c>
      <c r="G63" s="7" t="inlineStr">
        <is>
          <t>Cégszintű létszámadat méret és exportstátusz szerint.</t>
        </is>
      </c>
      <c r="H63" s="7" t="inlineStr">
        <is>
          <t>Nincs irodalmi érték.</t>
        </is>
      </c>
      <c r="I63" s="7" t="inlineStr">
        <is>
          <t>⚠ FELTÉTELES — megvan (0,1566/0,3775/0,4659), de csak a 10+ fős körre.</t>
        </is>
      </c>
      <c r="J63" s="7" t="inlineStr">
        <is>
          <t>Lásd om_j: SBS mikrokör-bontás.</t>
        </is>
      </c>
      <c r="K63" s="7" t="inlineStr">
        <is>
          <t>NEM.</t>
        </is>
      </c>
      <c r="L63" s="7" t="n">
        <v>0.3</v>
      </c>
      <c r="M63" s="7" t="inlineStr">
        <is>
          <t>A</t>
        </is>
      </c>
      <c r="N63" s="7" t="inlineStr">
        <is>
          <t>feltételes</t>
        </is>
      </c>
      <c r="O63" s="7" t="inlineStr">
        <is>
          <t>aktív</t>
        </is>
      </c>
      <c r="P63" s="7" t="inlineStr">
        <is>
          <t>-DOPTEN</t>
        </is>
      </c>
    </row>
    <row r="64">
      <c r="A64" s="7" t="inlineStr">
        <is>
          <t>shm_E</t>
        </is>
      </c>
      <c r="B64" s="7" t="inlineStr">
        <is>
          <t>Import-súly</t>
        </is>
      </c>
      <c r="C64" s="7" t="inlineStr">
        <is>
          <t>SZÁRMAZTATOTT — nem szabad paraméter, más paraméterekből számolódik.</t>
        </is>
      </c>
      <c r="D64" s="7" t="inlineStr">
        <is>
          <t>Az aggregált importkereslet súlya.</t>
        </is>
      </c>
      <c r="E64" s="7" t="inlineStr">
        <is>
          <t>🔵/🟡 ⚠ ÖRÖKÖLT: om_j (feltételes) és aa_j (átvett, pótolandó).</t>
        </is>
      </c>
      <c r="F64" s="7" t="inlineStr">
        <is>
          <t>shm_j = om_j(1−aa_j) / Σ_k om_k(1−aa_k)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SZÁRMAZTATOTT.</t>
        </is>
      </c>
      <c r="J64" s="7" t="inlineStr">
        <is>
          <t>—</t>
        </is>
      </c>
      <c r="K64" s="7" t="inlineStr">
        <is>
          <t>—</t>
        </is>
      </c>
      <c r="L64" s="7" t="n">
        <v>0.280453257790368</v>
      </c>
      <c r="M64" s="7" t="inlineStr">
        <is>
          <t>E</t>
        </is>
      </c>
      <c r="N64" s="7" t="inlineStr">
        <is>
          <t>származtatott</t>
        </is>
      </c>
      <c r="O64" s="7" t="inlineStr">
        <is>
          <t>örökölt: om_j (feltételes) + aa_j (átvett, pótolandó)</t>
        </is>
      </c>
      <c r="P64" s="7" t="inlineStr"/>
    </row>
    <row r="65">
      <c r="A65" s="7" t="inlineStr">
        <is>
          <t>shm_D</t>
        </is>
      </c>
      <c r="B65" s="7" t="inlineStr">
        <is>
          <t>Import-súly</t>
        </is>
      </c>
      <c r="C65" s="7" t="inlineStr">
        <is>
          <t>SZÁRMAZTATOTT — nem szabad paraméter, más paraméterekből számolódik.</t>
        </is>
      </c>
      <c r="D65" s="7" t="inlineStr">
        <is>
          <t>Az aggregált importkereslet súlya.</t>
        </is>
      </c>
      <c r="E65" s="7" t="inlineStr">
        <is>
          <t>🔵/🟡 ⚠ ÖRÖKÖLT: om_j (feltételes) és aa_j (átvett, pótolandó).</t>
        </is>
      </c>
      <c r="F65" s="7" t="inlineStr">
        <is>
          <t>shm_j = om_j(1−aa_j) / Σ_k om_k(1−aa_k)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SZÁRMAZTATOTT.</t>
        </is>
      </c>
      <c r="J65" s="7" t="inlineStr">
        <is>
          <t>—</t>
        </is>
      </c>
      <c r="K65" s="7" t="inlineStr">
        <is>
          <t>—</t>
        </is>
      </c>
      <c r="L65" s="7" t="n">
        <v>0.209631728045326</v>
      </c>
      <c r="M65" s="7" t="inlineStr">
        <is>
          <t>E</t>
        </is>
      </c>
      <c r="N65" s="7" t="inlineStr">
        <is>
          <t>származtatott</t>
        </is>
      </c>
      <c r="O65" s="7" t="inlineStr">
        <is>
          <t>örökölt: om_j (feltételes) + aa_j (átvett, pótolandó)</t>
        </is>
      </c>
      <c r="P65" s="7" t="inlineStr"/>
    </row>
    <row r="66">
      <c r="A66" s="7" t="inlineStr">
        <is>
          <t>shm_L</t>
        </is>
      </c>
      <c r="B66" s="7" t="inlineStr">
        <is>
          <t>Import-súly</t>
        </is>
      </c>
      <c r="C66" s="7" t="inlineStr">
        <is>
          <t>SZÁRMAZTATOTT — nem szabad paraméter, más paraméterekből számolódik.</t>
        </is>
      </c>
      <c r="D66" s="7" t="inlineStr">
        <is>
          <t>Az aggregált importkereslet súlya.</t>
        </is>
      </c>
      <c r="E66" s="7" t="inlineStr">
        <is>
          <t>🔵/🟡 ⚠ ÖRÖKÖLT: om_j (feltételes) és aa_j (átvett, pótolandó).</t>
        </is>
      </c>
      <c r="F66" s="7" t="inlineStr">
        <is>
          <t>shm_j = om_j(1−aa_j) / Σ_k om_k(1−aa_k)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SZÁRMAZTATOTT.</t>
        </is>
      </c>
      <c r="J66" s="7" t="inlineStr">
        <is>
          <t>—</t>
        </is>
      </c>
      <c r="K66" s="7" t="inlineStr">
        <is>
          <t>—</t>
        </is>
      </c>
      <c r="L66" s="7" t="n">
        <v>0.509915014164306</v>
      </c>
      <c r="M66" s="7" t="inlineStr">
        <is>
          <t>E</t>
        </is>
      </c>
      <c r="N66" s="7" t="inlineStr">
        <is>
          <t>származtatott</t>
        </is>
      </c>
      <c r="O66" s="7" t="inlineStr">
        <is>
          <t>örökölt: om_j (feltételes) + aa_j (átvett, pótolandó)</t>
        </is>
      </c>
      <c r="P66" s="7" t="inlineStr"/>
    </row>
    <row r="67">
      <c r="A67" s="8" t="inlineStr">
        <is>
          <t>s_kkv</t>
        </is>
      </c>
      <c r="B67" s="8" t="inlineStr">
        <is>
          <t>KKV-részesedés az exportszektor hazai köztes inputjában</t>
        </is>
      </c>
      <c r="C67" s="8" t="inlineStr">
        <is>
          <t>A hazai (KKV-) beszállítói input súlya az exportoldali határköltségben.</t>
        </is>
      </c>
      <c r="D67" s="8" t="inlineStr">
        <is>
          <t>mc_x_rel = (1−s_kkv)·(…) + s_kkv·mc_d − px; a shd_v inputja.</t>
        </is>
      </c>
      <c r="E67" s="8" t="inlineStr">
        <is>
          <t>🟡 A vertikális (beszállítói) csatorna erőssége. ⚠ A NÉV FÉLREVEZETŐ: ez NEM a KKV-k GDP-súlya.</t>
        </is>
      </c>
      <c r="F67" s="8" t="inlineStr">
        <is>
          <t>s_kkv = a hazai KKV-któl származó köztes input / az exportszektor összes köztes inputja.</t>
        </is>
      </c>
      <c r="G67" s="8" t="inlineStr">
        <is>
          <t>Input-output tábla vállalatméret szerinti bontással, VAGY hozzáadottérték-alapú kereskedelmi adat.</t>
        </is>
      </c>
      <c r="H67" s="8" t="inlineStr">
        <is>
          <t>Országspecifikus.</t>
        </is>
      </c>
      <c r="I67" s="8" t="inlineStr">
        <is>
          <t>❌ NEM a jelenlegi úton: az IO-alapú számítás HIBÁS (az összegzett köztes felhasználás a nemzeti számlák P2-jének csak 1,8–8,6%-a); a gyökérok nyitott, az IRÁNYT sem tudjuk (V02 visszavonva).</t>
        </is>
      </c>
      <c r="J67" s="8" t="inlineStr">
        <is>
          <t>OECD TiVA/ICIO magyar country note — MEGKERÜLI a hibás IO-számítást. De új, fogalmilag megfelelő vertikális-link módszertan kell hozzá.</t>
        </is>
      </c>
      <c r="K67" s="8" t="inlineStr">
        <is>
          <t>NEM.</t>
        </is>
      </c>
      <c r="L67" s="8" t="n">
        <v>0.05</v>
      </c>
      <c r="M67" s="8" t="inlineStr">
        <is>
          <t>D</t>
        </is>
      </c>
      <c r="N67" s="8" t="inlineStr">
        <is>
          <t>horgonyzatlan</t>
        </is>
      </c>
      <c r="O67" s="8" t="inlineStr">
        <is>
          <t>aktív</t>
        </is>
      </c>
      <c r="P67" s="8" t="inlineStr">
        <is>
          <t>-DSKKV</t>
        </is>
      </c>
    </row>
    <row r="68">
      <c r="A68" s="8" t="inlineStr">
        <is>
          <t>mu_vert</t>
        </is>
      </c>
      <c r="B68" s="8" t="inlineStr">
        <is>
          <t>Vertikális átgyűrűzési rugalmasság</t>
        </is>
      </c>
      <c r="C68" s="8" t="inlineStr">
        <is>
          <t>A hazai és az exportoldali határköltség közti ár-/mennyiségi átgyűrűzés erőssége.</t>
        </is>
      </c>
      <c r="D68" s="8" t="inlineStr">
        <is>
          <t>h_dx = xx − mu_vert·s_kkv·(mc_d − mc_x_rel).</t>
        </is>
      </c>
      <c r="E68" s="8" t="inlineStr">
        <is>
          <t>🟡 A beszállítói csatorna meredeksége.</t>
        </is>
      </c>
      <c r="F68" s="8" t="inlineStr">
        <is>
          <t>A beszállítói ár-átgyűrűzés regressziója: Δ(beszállítói ár) / Δ(vevői határköltség).</t>
        </is>
      </c>
      <c r="G68" s="8" t="inlineStr">
        <is>
          <t>Beszállító–vevő párosított árszintadat.</t>
        </is>
      </c>
      <c r="H68" s="8" t="inlineStr">
        <is>
          <t>❌ NEM TALÁLTUNK becslést a keresés során — ez a húszból az EGYETLEN, amiről a keresés után is azt mondjuk, hogy nincs mit megnézni.</t>
        </is>
      </c>
      <c r="I68" s="8" t="inlineStr">
        <is>
          <t>❌ NEM.</t>
        </is>
      </c>
      <c r="J68" s="8" t="inlineStr">
        <is>
          <t>Párosított beszállító–vevő tranzakciós adat (pl. ÁFA-tranzakciós adat).</t>
        </is>
      </c>
      <c r="K68" s="8" t="inlineStr">
        <is>
          <t>NEM — érzékenységi paraméterként kezelendő.</t>
        </is>
      </c>
      <c r="L68" s="8" t="n">
        <v>0.5</v>
      </c>
      <c r="M68" s="8" t="inlineStr">
        <is>
          <t>D</t>
        </is>
      </c>
      <c r="N68" s="8" t="inlineStr">
        <is>
          <t>horgonyzatlan</t>
        </is>
      </c>
      <c r="O68" s="8" t="inlineStr">
        <is>
          <t>aktív</t>
        </is>
      </c>
      <c r="P68" s="8" t="inlineStr">
        <is>
          <t>-DMUVERT</t>
        </is>
      </c>
    </row>
    <row r="69">
      <c r="A69" s="8" t="inlineStr">
        <is>
          <t>zsov</t>
        </is>
      </c>
      <c r="B69" s="8" t="inlineStr">
        <is>
          <t>Szuverén felár átgyűrűzése a hazai kamatba</t>
        </is>
      </c>
      <c r="C69" s="8" t="inlineStr">
        <is>
          <t>A szuverén kockázati felár hányad része jelenik meg a hazai kockázatmentes kamatban.</t>
        </is>
      </c>
      <c r="D69" s="8" t="inlineStr">
        <is>
          <t>A kamat- és UIP-zárásban: r − zsov·sov.</t>
        </is>
      </c>
      <c r="E69" s="8" t="inlineStr">
        <is>
          <t>Az egész euró-hatás nagyságrendjének egy része: mennyi jut le a szuverén felár csökkenéséből az általános kamatszintre. Nem típus-specifikus.</t>
        </is>
      </c>
      <c r="F69" s="8" t="inlineStr">
        <is>
          <t>REGRESSZIÓ: Δ(BUBOR − EURIBOR) = zsov·Δ(magyar szuverén felár) + kontrollok. A meredekség maga a zsov.</t>
        </is>
      </c>
      <c r="G69" s="8" t="inlineStr">
        <is>
          <t>Két NYILVÁNOS idősor: magyar szuverén CDS/EMBI felár + BUBOR–EURIBOR különbözet (v. határidős prémium).</t>
        </is>
      </c>
      <c r="H69" s="8" t="inlineStr">
        <is>
          <t>Nincs bevett konvenció; 0,3–0,7 plauzibilis.</t>
        </is>
      </c>
      <c r="I69" s="8" t="inlineStr">
        <is>
          <t>✅ IGEN — ez a legolcsóbb horgony a horgonyzatlanok közül. Tisztán makró-idősor, nem szenved a programvezéreltségtől és az egy pre-periódustól.</t>
        </is>
      </c>
      <c r="J69" s="8" t="inlineStr">
        <is>
          <t>Semmi új: a két idősor nyilvános. Fél nap.</t>
        </is>
      </c>
      <c r="K69" s="8" t="inlineStr">
        <is>
          <t>NEM — magyar-specifikus, mérni kell.</t>
        </is>
      </c>
      <c r="L69" s="8" t="n">
        <v>0.5</v>
      </c>
      <c r="M69" s="8" t="inlineStr">
        <is>
          <t>D</t>
        </is>
      </c>
      <c r="N69" s="8" t="inlineStr">
        <is>
          <t>horgonyzatlan</t>
        </is>
      </c>
      <c r="O69" s="8" t="inlineStr">
        <is>
          <t>aktív</t>
        </is>
      </c>
      <c r="P69" s="8" t="inlineStr"/>
    </row>
    <row r="70">
      <c r="A70" s="8" t="inlineStr">
        <is>
          <t>eps_ces</t>
        </is>
      </c>
      <c r="B70" s="8" t="inlineStr">
        <is>
          <t>Típusok közti helyettesítési rugalmasság</t>
        </is>
      </c>
      <c r="C70" s="8" t="inlineStr">
        <is>
          <t>Mennyire helyettesíthető egymással a három vállalattípus terméke a hazai keresletben.</t>
        </is>
      </c>
      <c r="D70" s="8" t="inlineStr">
        <is>
          <t>d_j = y_d − eps_ces·p_j.</t>
        </is>
      </c>
      <c r="E70" s="8" t="inlineStr">
        <is>
          <t>🔴 Formálisan KÖZÖS, de az eltérő p_j miatt KRITIKUS szegmensdriver: az export-KKV kibocsátásának ELŐJELE fordul rajta ~2,3-nál (F02). Az aggregált GDP érzéketlen rá (0,008 pp sáv).</t>
        </is>
      </c>
      <c r="F70" s="8" t="inlineStr">
        <is>
          <t>eps_ces = markup/(markup−1) alakból: 20%-os markup → eps ≈ 6. Cégszintű markup-becslésből (De Loecker–Warzynski): markup = theta_input / (input-költséghányad).</t>
        </is>
      </c>
      <c r="G70" s="8" t="inlineStr">
        <is>
          <t>Cégszintű termelési adat (output, inputköltség) markup-becsléshez.</t>
        </is>
      </c>
      <c r="H70" s="8" t="inlineStr">
        <is>
          <t>6,0 az irodalmi konvenció (Laxton–Pesenti 2003 → GEM → EAGLE). ⚠ MAGYAR BECSLÉS LÉTEZIK: Dobrinsky–Kőrösi–Markov–Halpern (JCE 2006, 34(1):92–110).</t>
        </is>
      </c>
      <c r="I70" s="8" t="inlineStr">
        <is>
          <t>⚠ RÉSZBEN — a panel tartalmazza a markup-becsléshez kellő sorokat, DE FOGALMI CSÚSZÁS: nálunk az eps_ces a VÁLLALATTÍPUSOK közti helyettesítés, az irodalmi 6,0 viszont a TERMÉKVÁLTOZATOK közti. NEM UGYANAZ AZ OBJEKTUM.</t>
        </is>
      </c>
      <c r="J70" s="8" t="inlineStr">
        <is>
          <t>Elvi tisztázás előbb: mit helyettesít a fogyasztó — terméket vagy vállalattípust? Utána magyar markup-becslés plauzibilitási sávnak.</t>
        </is>
      </c>
      <c r="K70" s="8" t="inlineStr">
        <is>
          <t>⚠ RÉSZBEN — a 6,0 konvenció átvehető, de más objektumra vonatkozik; ezt ki kell mondani.</t>
        </is>
      </c>
      <c r="L70" s="8" t="n">
        <v>6</v>
      </c>
      <c r="M70" s="8" t="inlineStr">
        <is>
          <t>D</t>
        </is>
      </c>
      <c r="N70" s="8" t="inlineStr">
        <is>
          <t>horgonyzatlan</t>
        </is>
      </c>
      <c r="O70" s="8" t="inlineStr">
        <is>
          <t>aktív</t>
        </is>
      </c>
      <c r="P70" s="8" t="inlineStr">
        <is>
          <t>-DEPSCES</t>
        </is>
      </c>
    </row>
    <row r="71">
      <c r="A71" s="8" t="inlineStr">
        <is>
          <t>rho_acc</t>
        </is>
      </c>
      <c r="B71" s="8" t="inlineStr">
        <is>
          <t>Hitelhozzáférési állapot perzisztenciája</t>
        </is>
      </c>
      <c r="C71" s="8" t="inlineStr">
        <is>
          <t>Mennyire ragad be egy szegmens javult hitelhozzáférési állapota.</t>
        </is>
      </c>
      <c r="D71" s="8" t="inlineStr">
        <is>
          <t>acc_j = rho_acc·acc_j(−1) − lambda_acc_j·efp_j (csak E és D típusra).</t>
        </is>
      </c>
      <c r="E71" s="8" t="inlineStr">
        <is>
          <t>🔴 A hosszú távú access-hatás 1/(1−rho_acc)-kal arányos, ami rho→1 közelében ROBBAN: 0,85→6,7×; 0,9673→30,6×. ⚠ CSAK a KKV-kra hat, mert L-access állapot nincs. ⚠ ACCSCALE=100 mellett rho_acc≥0,93 már terminálisan BK-INVALID.</t>
        </is>
      </c>
      <c r="F71" s="8" t="inlineStr">
        <is>
          <t>SZEGMENS-SZINTŰ dinamika: a szegmens hozzáférési arányának AR(1) együtthatója egy azonosított sokk után. NEM a cégszintű státusz-perzisztencia!</t>
        </is>
      </c>
      <c r="G71" s="8" t="inlineStr">
        <is>
          <t>Szegmens-szintű hozzáférési idősor + azonosított kamat-/felársokk.</t>
        </is>
      </c>
      <c r="H71" s="8" t="inlineStr">
        <is>
          <t>Nincs bevett érték; a DSGE-kben 0,8–0,95 tipikus.</t>
        </is>
      </c>
      <c r="I71" s="8" t="inlineStr">
        <is>
          <t>❌ NEM. A 0,9673 egy CÉGSZINTŰ, BINÁRIS státusz-perzisztencia leíró statisztikája — a négy teljes évvel rendelkező cégek 92,4%-a EGYSZER SEM váltott státuszt, tehát a szám főként ÁLLANDÓ cégheterogenitást mér, nem dinamikus alkalmazkodást. Ezért az A11 állítást visszavontuk.</t>
        </is>
      </c>
      <c r="J71" s="8" t="inlineStr">
        <is>
          <t>Szegmens-szintű dinamikus becslés, VAGY olyan panelmodell, amely a fix céghatást leválasztja az időbeli alkalmazkodásról (pl. a státuszt VÁLTÓ cégek almintáján).</t>
        </is>
      </c>
      <c r="K71" s="8" t="inlineStr">
        <is>
          <t>NEM — és a jelenlegi szám nem is horgony, csak érzékenységi pont.</t>
        </is>
      </c>
      <c r="L71" s="8" t="n">
        <v>0.85</v>
      </c>
      <c r="M71" s="8" t="inlineStr">
        <is>
          <t>D</t>
        </is>
      </c>
      <c r="N71" s="8" t="inlineStr">
        <is>
          <t>horgonyzatlan</t>
        </is>
      </c>
      <c r="O71" s="8" t="inlineStr">
        <is>
          <t>aktív</t>
        </is>
      </c>
      <c r="P71" s="8" t="inlineStr">
        <is>
          <t>-DOPTEN / -DRHOACC</t>
        </is>
      </c>
    </row>
    <row r="72">
      <c r="A72" s="8" t="inlineStr">
        <is>
          <t>lambda_acc_E</t>
        </is>
      </c>
      <c r="B72" s="8" t="inlineStr">
        <is>
          <t>Felár → hitelhozzáférés rugalmasság (1. lépcső)</t>
        </is>
      </c>
      <c r="C72" s="8" t="inlineStr">
        <is>
          <t>Mennyivel javul a hozzáférés, ha a finanszírozási felár csökken.</t>
        </is>
      </c>
      <c r="D72" s="8" t="inlineStr">
        <is>
          <t>acc_j = rho_acc·acc_j(−1) − lambda_acc_j·efp_j.</t>
        </is>
      </c>
      <c r="E72" s="8" t="inlineStr">
        <is>
          <t>🔴 ⚠ A modell a lambda_acc-ot és az omega_acc-ot KÜLÖN-KÜLÖN NEM AZONOSÍTJA — csak a SZORZATUKAT (A22, t52e-ben numerikus nullára mérve). L-változat NINCS.</t>
        </is>
      </c>
      <c r="F72" s="8" t="inlineStr">
        <is>
          <t>Elvben: IV-regresszió, ahol egy exogén felársokk hatását mérjük a hozzáférési arányra. ⚠ DE: a modellen keresztül csak a lambda·omega szorzat azonosítható, külön egyik sem.</t>
        </is>
      </c>
      <c r="G72" s="8" t="inlineStr">
        <is>
          <t>Exogén felársokk + szegmens-szintű hozzáférési arány.</t>
        </is>
      </c>
      <c r="H72" s="8" t="inlineStr">
        <is>
          <t>Nincs bevett érték — modellspecifikus konstrukció.</t>
        </is>
      </c>
      <c r="I72" s="8" t="inlineStr">
        <is>
          <t>❌ NEM, és ELVILEG SEM a 2021–24-es magyar epizódból: a támogatott programok kiiktatták a kamatciklust a KKV-hozzáférésből (A04/A06). A BUBOR 12,8 pontot mozgott, a hozzáférési arányok legfeljebb 2,2-t.</t>
        </is>
      </c>
      <c r="J72" s="8" t="inlineStr">
        <is>
          <t>Nem programvezérelt időszak, VAGY EIBIS/SAFE-típusú felmérés, amely a korlátozottságot és a beruházást együtt méri. ⚠ Még ezekből is CSAK A SZORZAT jön ki.</t>
        </is>
      </c>
      <c r="K72" s="8" t="inlineStr">
        <is>
          <t>NEM — átvett érték a v07_access-ből; küszöbformában közlendő.</t>
        </is>
      </c>
      <c r="L72" s="8" t="n">
        <v>2</v>
      </c>
      <c r="M72" s="8" t="inlineStr">
        <is>
          <t>D</t>
        </is>
      </c>
      <c r="N72" s="8" t="inlineStr">
        <is>
          <t>horgonyzatlan</t>
        </is>
      </c>
      <c r="O72" s="8" t="inlineStr">
        <is>
          <t>aktív</t>
        </is>
      </c>
      <c r="P72" s="8" t="inlineStr">
        <is>
          <t>-DACCSCALE / -DLAMSCALE</t>
        </is>
      </c>
    </row>
    <row r="73">
      <c r="A73" s="8" t="inlineStr">
        <is>
          <t>lambda_acc_D</t>
        </is>
      </c>
      <c r="B73" s="8" t="inlineStr">
        <is>
          <t>Felár → hitelhozzáférés rugalmasság (1. lépcső)</t>
        </is>
      </c>
      <c r="C73" s="8" t="inlineStr">
        <is>
          <t>Mennyivel javul a hozzáférés, ha a finanszírozási felár csökken.</t>
        </is>
      </c>
      <c r="D73" s="8" t="inlineStr">
        <is>
          <t>acc_j = rho_acc·acc_j(−1) − lambda_acc_j·efp_j.</t>
        </is>
      </c>
      <c r="E73" s="8" t="inlineStr">
        <is>
          <t>🔴 ⚠ A modell a lambda_acc-ot és az omega_acc-ot KÜLÖN-KÜLÖN NEM AZONOSÍTJA — csak a SZORZATUKAT (A22, t52e-ben numerikus nullára mérve). L-változat NINCS.</t>
        </is>
      </c>
      <c r="F73" s="8" t="inlineStr">
        <is>
          <t>Elvben: IV-regresszió, ahol egy exogén felársokk hatását mérjük a hozzáférési arányra. ⚠ DE: a modellen keresztül csak a lambda·omega szorzat azonosítható, külön egyik sem.</t>
        </is>
      </c>
      <c r="G73" s="8" t="inlineStr">
        <is>
          <t>Exogén felársokk + szegmens-szintű hozzáférési arány.</t>
        </is>
      </c>
      <c r="H73" s="8" t="inlineStr">
        <is>
          <t>Nincs bevett érték — modellspecifikus konstrukció.</t>
        </is>
      </c>
      <c r="I73" s="8" t="inlineStr">
        <is>
          <t>❌ NEM, és ELVILEG SEM a 2021–24-es magyar epizódból: a támogatott programok kiiktatták a kamatciklust a KKV-hozzáférésből (A04/A06). A BUBOR 12,8 pontot mozgott, a hozzáférési arányok legfeljebb 2,2-t.</t>
        </is>
      </c>
      <c r="J73" s="8" t="inlineStr">
        <is>
          <t>Nem programvezérelt időszak, VAGY EIBIS/SAFE-típusú felmérés, amely a korlátozottságot és a beruházást együtt méri. ⚠ Még ezekből is CSAK A SZORZAT jön ki.</t>
        </is>
      </c>
      <c r="K73" s="8" t="inlineStr">
        <is>
          <t>NEM — átvett érték a v07_access-ből; küszöbformában közlendő.</t>
        </is>
      </c>
      <c r="L73" s="8" t="n">
        <v>2.5</v>
      </c>
      <c r="M73" s="8" t="inlineStr">
        <is>
          <t>D</t>
        </is>
      </c>
      <c r="N73" s="8" t="inlineStr">
        <is>
          <t>horgonyzatlan</t>
        </is>
      </c>
      <c r="O73" s="8" t="inlineStr">
        <is>
          <t>aktív</t>
        </is>
      </c>
      <c r="P73" s="8" t="inlineStr">
        <is>
          <t>-DACCSCALE / -DLAMSCALE</t>
        </is>
      </c>
    </row>
    <row r="74">
      <c r="A74" s="8" t="inlineStr">
        <is>
          <t>omega_acc_E</t>
        </is>
      </c>
      <c r="B74" s="8" t="inlineStr">
        <is>
          <t>Hitelhozzáférés → beruházás rugalmasság (2. lépcső)</t>
        </is>
      </c>
      <c r="C74" s="8" t="inlineStr">
        <is>
          <t>Mennyivel nő a beruházás, ha javul a hozzáférés — VÁLTOZATLAN jövedelmezőség mellett.</t>
        </is>
      </c>
      <c r="D74" s="8" t="inlineStr">
        <is>
          <t>i_j = … + omega_acc_j·acc_j. Additív forcing tag a beruházási Eulerben.</t>
        </is>
      </c>
      <c r="E74" s="8" t="inlineStr">
        <is>
          <t>🔴 ⚠ omega_acc_L = 0 — a nagyvállalatnak DEFINÍCIÓ SZERINT nincs acc-egyenlete. EZ A MODELL LEGNAGYOBB EGYETLEN FELTEVÉSE, és nincs is benne a 91 paraméterben, mert nem érték, hanem HIÁNYZÓ EGYENLET. Soha nem scaneltük.</t>
        </is>
      </c>
      <c r="F74" s="8" t="inlineStr">
        <is>
          <t>Elvben: a pénzügyileg korlátozott és nem korlátozott cégek beruházási rátájának különbsége. ⚠ Csak a lambda·omega szorzat azonosítható.</t>
        </is>
      </c>
      <c r="G74" s="8" t="inlineStr">
        <is>
          <t>Cégszintű korlátozottsági mutató + beruházási ráta.</t>
        </is>
      </c>
      <c r="H74" s="8" t="inlineStr">
        <is>
          <t>IRÁNY-TÁMOGATÁS: a nem korlátozott cégek nettó beruházási rátája ~7,8 százalékponttal magasabb, és a hatás KISEBB a nagyvállalatoknál — ez támogatja az omega_acc_L &lt; omega_acc_S irányt. Az ECB SAFE szerint a nagyvállalati elutasítási arány 1–2%, a KKV-ké 5%.</t>
        </is>
      </c>
      <c r="I74" s="8" t="inlineStr">
        <is>
          <t>❌ NEM (lásd lambda_acc). ⚠ CSAPDA: egy programhatás-IV-ből kapott Δberuházás/Δhozzáférés hányadost NEM szabad omega_acc-nak nevezni — az a program teljes finanszírozási hatását viszi, nem a strukturális rugalmasságot.</t>
        </is>
      </c>
      <c r="J74" s="8" t="inlineStr">
        <is>
          <t>EIBIS / EC-ECB SAFE magyar bontás (a Bizottság ÉVES köre, amely minden EU-tagállamot lefed — a negyedéves ECB-kör csak euróövezeti!).</t>
        </is>
      </c>
      <c r="K74" s="8" t="inlineStr">
        <is>
          <t>NEM — átvett érték; küszöbformában közlendő.</t>
        </is>
      </c>
      <c r="L74" s="8" t="n">
        <v>0.35</v>
      </c>
      <c r="M74" s="8" t="inlineStr">
        <is>
          <t>D</t>
        </is>
      </c>
      <c r="N74" s="8" t="inlineStr">
        <is>
          <t>horgonyzatlan</t>
        </is>
      </c>
      <c r="O74" s="8" t="inlineStr">
        <is>
          <t>aktív</t>
        </is>
      </c>
      <c r="P74" s="8" t="inlineStr">
        <is>
          <t>-DACCSCALE / -DOMSCALE</t>
        </is>
      </c>
    </row>
    <row r="75">
      <c r="A75" s="8" t="inlineStr">
        <is>
          <t>omega_acc_D</t>
        </is>
      </c>
      <c r="B75" s="8" t="inlineStr">
        <is>
          <t>Hitelhozzáférés → beruházás rugalmasság (2. lépcső)</t>
        </is>
      </c>
      <c r="C75" s="8" t="inlineStr">
        <is>
          <t>Mennyivel nő a beruházás, ha javul a hozzáférés — VÁLTOZATLAN jövedelmezőség mellett.</t>
        </is>
      </c>
      <c r="D75" s="8" t="inlineStr">
        <is>
          <t>i_j = … + omega_acc_j·acc_j. Additív forcing tag a beruházási Eulerben.</t>
        </is>
      </c>
      <c r="E75" s="8" t="inlineStr">
        <is>
          <t>🔴 ⚠ omega_acc_L = 0 — a nagyvállalatnak DEFINÍCIÓ SZERINT nincs acc-egyenlete. EZ A MODELL LEGNAGYOBB EGYETLEN FELTEVÉSE, és nincs is benne a 91 paraméterben, mert nem érték, hanem HIÁNYZÓ EGYENLET. Soha nem scaneltük.</t>
        </is>
      </c>
      <c r="F75" s="8" t="inlineStr">
        <is>
          <t>Elvben: a pénzügyileg korlátozott és nem korlátozott cégek beruházási rátájának különbsége. ⚠ Csak a lambda·omega szorzat azonosítható.</t>
        </is>
      </c>
      <c r="G75" s="8" t="inlineStr">
        <is>
          <t>Cégszintű korlátozottsági mutató + beruházási ráta.</t>
        </is>
      </c>
      <c r="H75" s="8" t="inlineStr">
        <is>
          <t>IRÁNY-TÁMOGATÁS: a nem korlátozott cégek nettó beruházási rátája ~7,8 százalékponttal magasabb, és a hatás KISEBB a nagyvállalatoknál — ez támogatja az omega_acc_L &lt; omega_acc_S irányt. Az ECB SAFE szerint a nagyvállalati elutasítási arány 1–2%, a KKV-ké 5%.</t>
        </is>
      </c>
      <c r="I75" s="8" t="inlineStr">
        <is>
          <t>❌ NEM (lásd lambda_acc). ⚠ CSAPDA: egy programhatás-IV-ből kapott Δberuházás/Δhozzáférés hányadost NEM szabad omega_acc-nak nevezni — az a program teljes finanszírozási hatását viszi, nem a strukturális rugalmasságot.</t>
        </is>
      </c>
      <c r="J75" s="8" t="inlineStr">
        <is>
          <t>EIBIS / EC-ECB SAFE magyar bontás (a Bizottság ÉVES köre, amely minden EU-tagállamot lefed — a negyedéves ECB-kör csak euróövezeti!).</t>
        </is>
      </c>
      <c r="K75" s="8" t="inlineStr">
        <is>
          <t>NEM — átvett érték; küszöbformában közlendő.</t>
        </is>
      </c>
      <c r="L75" s="8" t="n">
        <v>0.45</v>
      </c>
      <c r="M75" s="8" t="inlineStr">
        <is>
          <t>D</t>
        </is>
      </c>
      <c r="N75" s="8" t="inlineStr">
        <is>
          <t>horgonyzatlan</t>
        </is>
      </c>
      <c r="O75" s="8" t="inlineStr">
        <is>
          <t>aktív</t>
        </is>
      </c>
      <c r="P75" s="8" t="inlineStr">
        <is>
          <t>-DACCSCALE / -DOMSCALE</t>
        </is>
      </c>
    </row>
    <row r="76">
      <c r="A76" s="7" t="inlineStr">
        <is>
          <t>sc</t>
        </is>
      </c>
      <c r="B76" s="7" t="inlineStr">
        <is>
          <t>Fogyasztás GDP-aránya</t>
        </is>
      </c>
      <c r="C76" s="7" t="inlineStr">
        <is>
          <t>A fogyasztás súlya a kiadási oldali GDP-ben.</t>
        </is>
      </c>
      <c r="D76" s="7" t="inlineStr">
        <is>
          <t>A GDP-azonosság összeállítása: y = sc·c + si·ii + sg·g + sx·xx − sm·im.</t>
        </is>
      </c>
      <c r="E76" s="7" t="inlineStr">
        <is>
          <t>🔵 Főleg az AGGREGÁLT y mérését változtatja; az egyedi y_j-t nem.</t>
        </is>
      </c>
      <c r="F76" s="7" t="inlineStr">
        <is>
          <t>Fogyasztás = a fogyasztás folyó áron / GDP folyó áron, több éves átlag.</t>
        </is>
      </c>
      <c r="G76" s="7" t="inlineStr">
        <is>
          <t>KSH nemzeti számlák, negyedéves vagy éves.</t>
        </is>
      </c>
      <c r="H76" s="7" t="inlineStr">
        <is>
          <t>Országspecifikus — nincs irodalmi érték, adatból jön.</t>
        </is>
      </c>
      <c r="I76" s="7" t="inlineStr">
        <is>
          <t>✅ IGEN — KSH nemzeti számlákból KÖZVETLENÜL frissíthető, semmi trükk.</t>
        </is>
      </c>
      <c r="J76" s="7" t="inlineStr">
        <is>
          <t>Semmi új: nyilvános KSH-adat.</t>
        </is>
      </c>
      <c r="K76" s="7" t="inlineStr">
        <is>
          <t>NEM — magyar adat, de triviálisan elérhető.</t>
        </is>
      </c>
      <c r="L76" s="7" t="n">
        <v>0.54</v>
      </c>
      <c r="M76" s="7" t="inlineStr">
        <is>
          <t>B</t>
        </is>
      </c>
      <c r="N76" s="7" t="inlineStr">
        <is>
          <t>pótolandó</t>
        </is>
      </c>
      <c r="O76" s="7" t="inlineStr">
        <is>
          <t>aktív</t>
        </is>
      </c>
      <c r="P76" s="7" t="inlineStr"/>
    </row>
    <row r="77">
      <c r="A77" s="7" t="inlineStr">
        <is>
          <t>si</t>
        </is>
      </c>
      <c r="B77" s="7" t="inlineStr">
        <is>
          <t>Beruházás GDP-aránya</t>
        </is>
      </c>
      <c r="C77" s="7" t="inlineStr">
        <is>
          <t>A beruházás súlya a kiadási oldali GDP-ben.</t>
        </is>
      </c>
      <c r="D77" s="7" t="inlineStr">
        <is>
          <t>A GDP-azonosság összeállítása: y = sc·c + si·ii + sg·g + sx·xx − sm·im.</t>
        </is>
      </c>
      <c r="E77" s="7" t="inlineStr">
        <is>
          <t>🔵 Főleg az AGGREGÁLT y mérését változtatja; az egyedi y_j-t nem.</t>
        </is>
      </c>
      <c r="F77" s="7" t="inlineStr">
        <is>
          <t>Beruházás = a beruházás folyó áron / GDP folyó áron, több éves átlag.</t>
        </is>
      </c>
      <c r="G77" s="7" t="inlineStr">
        <is>
          <t>KSH nemzeti számlák, negyedéves vagy éves.</t>
        </is>
      </c>
      <c r="H77" s="7" t="inlineStr">
        <is>
          <t>Országspecifikus — nincs irodalmi érték, adatból jön.</t>
        </is>
      </c>
      <c r="I77" s="7" t="inlineStr">
        <is>
          <t>✅ IGEN — KSH nemzeti számlákból KÖZVETLENÜL frissíthető, semmi trükk.</t>
        </is>
      </c>
      <c r="J77" s="7" t="inlineStr">
        <is>
          <t>Semmi új: nyilvános KSH-adat.</t>
        </is>
      </c>
      <c r="K77" s="7" t="inlineStr">
        <is>
          <t>NEM — magyar adat, de triviálisan elérhető.</t>
        </is>
      </c>
      <c r="L77" s="7" t="n">
        <v>0.23</v>
      </c>
      <c r="M77" s="7" t="inlineStr">
        <is>
          <t>B</t>
        </is>
      </c>
      <c r="N77" s="7" t="inlineStr">
        <is>
          <t>pótolandó</t>
        </is>
      </c>
      <c r="O77" s="7" t="inlineStr">
        <is>
          <t>aktív</t>
        </is>
      </c>
      <c r="P77" s="7" t="inlineStr"/>
    </row>
    <row r="78">
      <c r="A78" s="7" t="inlineStr">
        <is>
          <t>sg</t>
        </is>
      </c>
      <c r="B78" s="7" t="inlineStr">
        <is>
          <t>Kormányzati kereslet GDP-aránya</t>
        </is>
      </c>
      <c r="C78" s="7" t="inlineStr">
        <is>
          <t>A kormányzati kereslet súlya a kiadási oldali GDP-ben.</t>
        </is>
      </c>
      <c r="D78" s="7" t="inlineStr">
        <is>
          <t>A GDP-azonosság összeállítása: y = sc·c + si·ii + sg·g + sx·xx − sm·im.</t>
        </is>
      </c>
      <c r="E78" s="7" t="inlineStr">
        <is>
          <t>🔵 Főleg az AGGREGÁLT y mérését változtatja; az egyedi y_j-t nem.</t>
        </is>
      </c>
      <c r="F78" s="7" t="inlineStr">
        <is>
          <t>Kormányzati = a kormányzati kereslet folyó áron / GDP folyó áron, több éves átlag.</t>
        </is>
      </c>
      <c r="G78" s="7" t="inlineStr">
        <is>
          <t>KSH nemzeti számlák, negyedéves vagy éves.</t>
        </is>
      </c>
      <c r="H78" s="7" t="inlineStr">
        <is>
          <t>Országspecifikus — nincs irodalmi érték, adatból jön.</t>
        </is>
      </c>
      <c r="I78" s="7" t="inlineStr">
        <is>
          <t>✅ IGEN — KSH nemzeti számlákból KÖZVETLENÜL frissíthető, semmi trükk.</t>
        </is>
      </c>
      <c r="J78" s="7" t="inlineStr">
        <is>
          <t>Semmi új: nyilvános KSH-adat.</t>
        </is>
      </c>
      <c r="K78" s="7" t="inlineStr">
        <is>
          <t>NEM — magyar adat, de triviálisan elérhető.</t>
        </is>
      </c>
      <c r="L78" s="7" t="n">
        <v>0.1</v>
      </c>
      <c r="M78" s="7" t="inlineStr">
        <is>
          <t>B</t>
        </is>
      </c>
      <c r="N78" s="7" t="inlineStr">
        <is>
          <t>pótolandó</t>
        </is>
      </c>
      <c r="O78" s="7" t="inlineStr">
        <is>
          <t>aktív</t>
        </is>
      </c>
      <c r="P78" s="7" t="inlineStr"/>
    </row>
    <row r="79">
      <c r="A79" s="7" t="inlineStr">
        <is>
          <t>sx</t>
        </is>
      </c>
      <c r="B79" s="7" t="inlineStr">
        <is>
          <t>Export GDP-aránya</t>
        </is>
      </c>
      <c r="C79" s="7" t="inlineStr">
        <is>
          <t>Az export súlya a GDP-ben és a külső pozícióban.</t>
        </is>
      </c>
      <c r="D79" s="7" t="inlineStr">
        <is>
          <t>A GDP-azonosságban és a nettó külföldi pozíció (bstar) felhalmozásában.</t>
        </is>
      </c>
      <c r="E79" s="7" t="inlineStr">
        <is>
          <t>🔵/🟡 A bstar-on és a monetáris záráson át VISSZA is csatol.</t>
        </is>
      </c>
      <c r="F79" s="7" t="inlineStr">
        <is>
          <t>sx = export folyó áron / GDP folyó áron.</t>
        </is>
      </c>
      <c r="G79" s="7" t="inlineStr">
        <is>
          <t>KSH nemzeti számlák.</t>
        </is>
      </c>
      <c r="H79" s="7" t="inlineStr">
        <is>
          <t>Országspecifikus.</t>
        </is>
      </c>
      <c r="I79" s="7" t="inlineStr">
        <is>
          <t>✅ IGEN — KSH-ból közvetlenül.</t>
        </is>
      </c>
      <c r="J79" s="7" t="inlineStr">
        <is>
          <t>Semmi új.</t>
        </is>
      </c>
      <c r="K79" s="7" t="inlineStr">
        <is>
          <t>NEM.</t>
        </is>
      </c>
      <c r="L79" s="7" t="n">
        <v>0.6</v>
      </c>
      <c r="M79" s="7" t="inlineStr">
        <is>
          <t>B</t>
        </is>
      </c>
      <c r="N79" s="7" t="inlineStr">
        <is>
          <t>pótolandó</t>
        </is>
      </c>
      <c r="O79" s="7" t="inlineStr">
        <is>
          <t>aktív</t>
        </is>
      </c>
      <c r="P79" s="7" t="inlineStr"/>
    </row>
    <row r="80">
      <c r="A80" s="7" t="inlineStr">
        <is>
          <t>sm</t>
        </is>
      </c>
      <c r="B80" s="7" t="inlineStr">
        <is>
          <t>Import GDP-aránya</t>
        </is>
      </c>
      <c r="C80" s="7" t="inlineStr">
        <is>
          <t>Az import súlya a GDP-ben és a külső pozícióban.</t>
        </is>
      </c>
      <c r="D80" s="7" t="inlineStr">
        <is>
          <t>Mint az sx, az import oldalon.</t>
        </is>
      </c>
      <c r="E80" s="7" t="inlineStr">
        <is>
          <t>🔵/🟡 Ugyanott.</t>
        </is>
      </c>
      <c r="F80" s="7" t="inlineStr">
        <is>
          <t>sm = import folyó áron / GDP folyó áron.</t>
        </is>
      </c>
      <c r="G80" s="7" t="inlineStr">
        <is>
          <t>KSH nemzeti számlák.</t>
        </is>
      </c>
      <c r="H80" s="7" t="inlineStr">
        <is>
          <t>Országspecifikus.</t>
        </is>
      </c>
      <c r="I80" s="7" t="inlineStr">
        <is>
          <t>✅ IGEN — KSH-ból közvetlenül.</t>
        </is>
      </c>
      <c r="J80" s="7" t="inlineStr">
        <is>
          <t>Semmi új.</t>
        </is>
      </c>
      <c r="K80" s="7" t="inlineStr">
        <is>
          <t>NEM.</t>
        </is>
      </c>
      <c r="L80" s="7" t="n">
        <v>0.47</v>
      </c>
      <c r="M80" s="7" t="inlineStr">
        <is>
          <t>B</t>
        </is>
      </c>
      <c r="N80" s="7" t="inlineStr">
        <is>
          <t>pótolandó</t>
        </is>
      </c>
      <c r="O80" s="7" t="inlineStr">
        <is>
          <t>aktív</t>
        </is>
      </c>
      <c r="P80" s="7" t="inlineStr"/>
    </row>
    <row r="81">
      <c r="A81" s="7" t="inlineStr">
        <is>
          <t>shd_c</t>
        </is>
      </c>
      <c r="B81" s="7" t="inlineStr">
        <is>
          <t>Fogyasztási komponens súlya</t>
        </is>
      </c>
      <c r="C81" s="7" t="inlineStr">
        <is>
          <t>SZÁRMAZTATOTT — nem szabad paraméter, más paraméterekből számolódik.</t>
        </is>
      </c>
      <c r="D81" s="7" t="inlineStr">
        <is>
          <t>A hazai kereslet összetétele.</t>
        </is>
      </c>
      <c r="E81" s="7" t="inlineStr">
        <is>
          <t>🔵/🟡 ⚠ ÖRÖKÖLT: a HORGONYZATLAN s_kkv bizonytalanságát viszi. ⚠ A képletben szereplő 0,60/0,55/0,15/0,12/0,82 konstansok NINCSENEK paraméterként deklarálva — a 91-es auditon kívül maradnak.</t>
        </is>
      </c>
      <c r="F81" s="7" t="inlineStr">
        <is>
          <t>shd_c = 0,55(1−shd_v)/0,82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SZÁRMAZTATOTT.</t>
        </is>
      </c>
      <c r="J81" s="7" t="inlineStr">
        <is>
          <t>—</t>
        </is>
      </c>
      <c r="K81" s="7" t="inlineStr">
        <is>
          <t>—</t>
        </is>
      </c>
      <c r="L81" s="7" t="n">
        <v>0.650609756097561</v>
      </c>
      <c r="M81" s="7" t="inlineStr">
        <is>
          <t>E</t>
        </is>
      </c>
      <c r="N81" s="7" t="inlineStr">
        <is>
          <t>származtatott</t>
        </is>
      </c>
      <c r="O81" s="7" t="inlineStr">
        <is>
          <t>örökölt: s_kkv (HORGONYZATLAN)</t>
        </is>
      </c>
      <c r="P81" s="7" t="inlineStr"/>
    </row>
    <row r="82">
      <c r="A82" s="7" t="inlineStr">
        <is>
          <t>shd_i</t>
        </is>
      </c>
      <c r="B82" s="7" t="inlineStr">
        <is>
          <t>Beruházási komponens súlya</t>
        </is>
      </c>
      <c r="C82" s="7" t="inlineStr">
        <is>
          <t>SZÁRMAZTATOTT — nem szabad paraméter, más paraméterekből számolódik.</t>
        </is>
      </c>
      <c r="D82" s="7" t="inlineStr">
        <is>
          <t>A hazai kereslet összetétele.</t>
        </is>
      </c>
      <c r="E82" s="7" t="inlineStr">
        <is>
          <t>🔵/🟡 ⚠ ÖRÖKÖLT: a HORGONYZATLAN s_kkv bizonytalanságát viszi. ⚠ A képletben szereplő 0,60/0,55/0,15/0,12/0,82 konstansok NINCSENEK paraméterként deklarálva — a 91-es auditon kívül maradnak.</t>
        </is>
      </c>
      <c r="F82" s="7" t="inlineStr">
        <is>
          <t>shd_i = 0,15(1−shd_v)/0,82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SZÁRMAZTATOTT.</t>
        </is>
      </c>
      <c r="J82" s="7" t="inlineStr">
        <is>
          <t>—</t>
        </is>
      </c>
      <c r="K82" s="7" t="inlineStr">
        <is>
          <t>—</t>
        </is>
      </c>
      <c r="L82" s="7" t="n">
        <v>0.177439024390244</v>
      </c>
      <c r="M82" s="7" t="inlineStr">
        <is>
          <t>E</t>
        </is>
      </c>
      <c r="N82" s="7" t="inlineStr">
        <is>
          <t>származtatott</t>
        </is>
      </c>
      <c r="O82" s="7" t="inlineStr">
        <is>
          <t>örökölt: s_kkv (HORGONYZATLAN)</t>
        </is>
      </c>
      <c r="P82" s="7" t="inlineStr"/>
    </row>
    <row r="83">
      <c r="A83" s="7" t="inlineStr">
        <is>
          <t>shd_g</t>
        </is>
      </c>
      <c r="B83" s="7" t="inlineStr">
        <is>
          <t>Kormányzati komponens súlya</t>
        </is>
      </c>
      <c r="C83" s="7" t="inlineStr">
        <is>
          <t>SZÁRMAZTATOTT — nem szabad paraméter, más paraméterekből számolódik.</t>
        </is>
      </c>
      <c r="D83" s="7" t="inlineStr">
        <is>
          <t>A hazai kereslet összetétele.</t>
        </is>
      </c>
      <c r="E83" s="7" t="inlineStr">
        <is>
          <t>🔵/🟡 ⚠ ÖRÖKÖLT: a HORGONYZATLAN s_kkv bizonytalanságát viszi. ⚠ A képletben szereplő 0,60/0,55/0,15/0,12/0,82 konstansok NINCSENEK paraméterként deklarálva — a 91-es auditon kívül maradnak.</t>
        </is>
      </c>
      <c r="F83" s="7" t="inlineStr">
        <is>
          <t>shd_g = 0,12(1−shd_v)/0,82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SZÁRMAZTATOTT.</t>
        </is>
      </c>
      <c r="J83" s="7" t="inlineStr">
        <is>
          <t>—</t>
        </is>
      </c>
      <c r="K83" s="7" t="inlineStr">
        <is>
          <t>—</t>
        </is>
      </c>
      <c r="L83" s="7" t="n">
        <v>0.141951219512195</v>
      </c>
      <c r="M83" s="7" t="inlineStr">
        <is>
          <t>E</t>
        </is>
      </c>
      <c r="N83" s="7" t="inlineStr">
        <is>
          <t>származtatott</t>
        </is>
      </c>
      <c r="O83" s="7" t="inlineStr">
        <is>
          <t>örökölt: s_kkv (HORGONYZATLAN)</t>
        </is>
      </c>
      <c r="P83" s="7" t="inlineStr"/>
    </row>
    <row r="84">
      <c r="A84" s="7" t="inlineStr">
        <is>
          <t>shd_v</t>
        </is>
      </c>
      <c r="B84" s="7" t="inlineStr">
        <is>
          <t>Vertikális komponens súlya</t>
        </is>
      </c>
      <c r="C84" s="7" t="inlineStr">
        <is>
          <t>SZÁRMAZTATOTT — nem szabad paraméter, más paraméterekből számolódik.</t>
        </is>
      </c>
      <c r="D84" s="7" t="inlineStr">
        <is>
          <t>A hazai kereslet összetétele.</t>
        </is>
      </c>
      <c r="E84" s="7" t="inlineStr">
        <is>
          <t>🔵/🟡 ⚠ ÖRÖKÖLT: a HORGONYZATLAN s_kkv bizonytalanságát viszi. ⚠ A képletben szereplő 0,60/0,55/0,15/0,12/0,82 konstansok NINCSENEK paraméterként deklarálva — a 91-es auditon kívül maradnak.</t>
        </is>
      </c>
      <c r="F84" s="7" t="inlineStr">
        <is>
          <t>shd_v = s_kkv · 0,60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SZÁRMAZTATOTT.</t>
        </is>
      </c>
      <c r="J84" s="7" t="inlineStr">
        <is>
          <t>—</t>
        </is>
      </c>
      <c r="K84" s="7" t="inlineStr">
        <is>
          <t>—</t>
        </is>
      </c>
      <c r="L84" s="7" t="n">
        <v>0.03</v>
      </c>
      <c r="M84" s="7" t="inlineStr">
        <is>
          <t>E</t>
        </is>
      </c>
      <c r="N84" s="7" t="inlineStr">
        <is>
          <t>származtatott</t>
        </is>
      </c>
      <c r="O84" s="7" t="inlineStr">
        <is>
          <t>örökölt: s_kkv (HORGONYZATLAN)</t>
        </is>
      </c>
      <c r="P84" s="7" t="inlineStr"/>
    </row>
    <row r="85">
      <c r="A85" s="7" t="inlineStr">
        <is>
          <t>rho_a</t>
        </is>
      </c>
      <c r="B85" s="7" t="inlineStr">
        <is>
          <t>Technológiai sokk perzisztenciája</t>
        </is>
      </c>
      <c r="C85" s="7" t="inlineStr">
        <is>
          <t>AR(1) sokk-perzisztencia. A determinisztikus euró-szcenárióban NEM aktív (a sokkok nincsenek hajtva), csak sztochasztikus futásban él.</t>
        </is>
      </c>
      <c r="D85" s="7" t="inlineStr">
        <is>
          <t>A megfelelő AR(1) sokkfolyamat tehetetlensége.</t>
        </is>
      </c>
      <c r="E85" s="7" t="inlineStr">
        <is>
          <t>⚪ A determinisztikus euró-szcenárióban NEM aktív. Sztochasztikus futásban a sokk lecsengésének sebessége.</t>
        </is>
      </c>
      <c r="F85" s="7" t="inlineStr">
        <is>
          <t>AR(1) regresszió a becsült sokkfolyamatra: e_t = rho·e_{t-1} + u_t; rho = Cov(e_t, e_{t-1}) / Var(e_{t-1}).</t>
        </is>
      </c>
      <c r="G85" s="7" t="inlineStr">
        <is>
          <t>Negyedéves magyar makro-idősorok (1995–2007) + teljes DSGE-újrabecslés.</t>
        </is>
      </c>
      <c r="H85" s="7" t="inlineStr">
        <is>
          <t>0,4–0,9 (tipikus DSGE-tartomány)</t>
        </is>
      </c>
      <c r="I85" s="7" t="inlineStr">
        <is>
          <t>NEM — a projekt nem futtat Bayes-i becslést; a készlet együttesen becsült.</t>
        </is>
      </c>
      <c r="J85" s="7" t="inlineStr">
        <is>
          <t>Teljes újrabecslés mai magyar mintán (önálló kutatási projekt, nem fér a decemberi leadásba).</t>
        </is>
      </c>
      <c r="K85" s="7" t="inlineStr">
        <is>
          <t>IGEN.</t>
        </is>
      </c>
      <c r="L85" s="7" t="n">
        <v>0.552</v>
      </c>
      <c r="M85" s="7" t="inlineStr">
        <is>
          <t>C</t>
        </is>
      </c>
      <c r="N85" s="7" t="inlineStr">
        <is>
          <t>horgonyzott</t>
        </is>
      </c>
      <c r="O85" s="7" t="inlineStr">
        <is>
          <t>aktív</t>
        </is>
      </c>
      <c r="P85" s="7" t="inlineStr"/>
    </row>
    <row r="86">
      <c r="A86" s="7" t="inlineStr">
        <is>
          <t>rho_x</t>
        </is>
      </c>
      <c r="B86" s="7" t="inlineStr">
        <is>
          <t>Exportkeresleti sokk perzisztenciája</t>
        </is>
      </c>
      <c r="C86" s="7" t="inlineStr">
        <is>
          <t>AR(1) sokk-perzisztencia. A determinisztikus euró-szcenárióban NEM aktív (a sokkok nincsenek hajtva), csak sztochasztikus futásban él.</t>
        </is>
      </c>
      <c r="D86" s="7" t="inlineStr">
        <is>
          <t>A megfelelő AR(1) sokkfolyamat tehetetlensége.</t>
        </is>
      </c>
      <c r="E86" s="7" t="inlineStr">
        <is>
          <t>⚪ A determinisztikus euró-szcenárióban NEM aktív. Sztochasztikus futásban a sokk lecsengésének sebessége.</t>
        </is>
      </c>
      <c r="F86" s="7" t="inlineStr">
        <is>
          <t>AR(1) regresszió a becsült sokkfolyamatra: e_t = rho·e_{t-1} + u_t; rho = Cov(e_t, e_{t-1}) / Var(e_{t-1}).</t>
        </is>
      </c>
      <c r="G86" s="7" t="inlineStr">
        <is>
          <t>Negyedéves magyar makro-idősorok (1995–2007) + teljes DSGE-újrabecslés.</t>
        </is>
      </c>
      <c r="H86" s="7" t="inlineStr">
        <is>
          <t>0,4–0,9 (tipikus DSGE-tartomány)</t>
        </is>
      </c>
      <c r="I86" s="7" t="inlineStr">
        <is>
          <t>NEM — a projekt nem futtat Bayes-i becslést; a készlet együttesen becsült.</t>
        </is>
      </c>
      <c r="J86" s="7" t="inlineStr">
        <is>
          <t>Teljes újrabecslés mai magyar mintán (önálló kutatási projekt, nem fér a decemberi leadásba).</t>
        </is>
      </c>
      <c r="K86" s="7" t="inlineStr">
        <is>
          <t>IGEN.</t>
        </is>
      </c>
      <c r="L86" s="7" t="n">
        <v>0.625</v>
      </c>
      <c r="M86" s="7" t="inlineStr">
        <is>
          <t>C</t>
        </is>
      </c>
      <c r="N86" s="7" t="inlineStr">
        <is>
          <t>horgonyzott</t>
        </is>
      </c>
      <c r="O86" s="7" t="inlineStr">
        <is>
          <t>aktív</t>
        </is>
      </c>
      <c r="P86" s="7" t="inlineStr"/>
    </row>
    <row r="87">
      <c r="A87" s="7" t="inlineStr">
        <is>
          <t>rho_c</t>
        </is>
      </c>
      <c r="B87" s="7" t="inlineStr">
        <is>
          <t>Fogyasztási sokk perzisztenciája</t>
        </is>
      </c>
      <c r="C87" s="7" t="inlineStr">
        <is>
          <t>AR(1) sokk-perzisztencia. A determinisztikus euró-szcenárióban NEM aktív (a sokkok nincsenek hajtva), csak sztochasztikus futásban él.</t>
        </is>
      </c>
      <c r="D87" s="7" t="inlineStr">
        <is>
          <t>A megfelelő AR(1) sokkfolyamat tehetetlensége.</t>
        </is>
      </c>
      <c r="E87" s="7" t="inlineStr">
        <is>
          <t>⚪ A determinisztikus euró-szcenárióban NEM aktív. Sztochasztikus futásban a sokk lecsengésének sebessége.</t>
        </is>
      </c>
      <c r="F87" s="7" t="inlineStr">
        <is>
          <t>AR(1) regresszió a becsült sokkfolyamatra: e_t = rho·e_{t-1} + u_t; rho = Cov(e_t, e_{t-1}) / Var(e_{t-1}).</t>
        </is>
      </c>
      <c r="G87" s="7" t="inlineStr">
        <is>
          <t>Negyedéves magyar makro-idősorok (1995–2007) + teljes DSGE-újrabecslés.</t>
        </is>
      </c>
      <c r="H87" s="7" t="inlineStr">
        <is>
          <t>0,4–0,9 (tipikus DSGE-tartomány)</t>
        </is>
      </c>
      <c r="I87" s="7" t="inlineStr">
        <is>
          <t>NEM — a projekt nem futtat Bayes-i becslést; a készlet együttesen becsült.</t>
        </is>
      </c>
      <c r="J87" s="7" t="inlineStr">
        <is>
          <t>Teljes újrabecslés mai magyar mintán (önálló kutatási projekt, nem fér a decemberi leadásba).</t>
        </is>
      </c>
      <c r="K87" s="7" t="inlineStr">
        <is>
          <t>IGEN.</t>
        </is>
      </c>
      <c r="L87" s="7" t="n">
        <v>0.767</v>
      </c>
      <c r="M87" s="7" t="inlineStr">
        <is>
          <t>C</t>
        </is>
      </c>
      <c r="N87" s="7" t="inlineStr">
        <is>
          <t>horgonyzott</t>
        </is>
      </c>
      <c r="O87" s="7" t="inlineStr">
        <is>
          <t>aktív</t>
        </is>
      </c>
      <c r="P87" s="7" t="inlineStr"/>
    </row>
    <row r="88">
      <c r="A88" s="7" t="inlineStr">
        <is>
          <t>rho_w</t>
        </is>
      </c>
      <c r="B88" s="7" t="inlineStr">
        <is>
          <t>Bér- sokk perzisztenciája</t>
        </is>
      </c>
      <c r="C88" s="7" t="inlineStr">
        <is>
          <t>AR(1) sokk-perzisztencia. A determinisztikus euró-szcenárióban NEM aktív (a sokkok nincsenek hajtva), csak sztochasztikus futásban él.</t>
        </is>
      </c>
      <c r="D88" s="7" t="inlineStr">
        <is>
          <t>A megfelelő AR(1) sokkfolyamat tehetetlensége.</t>
        </is>
      </c>
      <c r="E88" s="7" t="inlineStr">
        <is>
          <t>⚪ A determinisztikus euró-szcenárióban NEM aktív. Sztochasztikus futásban a sokk lecsengésének sebessége.</t>
        </is>
      </c>
      <c r="F88" s="7" t="inlineStr">
        <is>
          <t>AR(1) regresszió a becsült sokkfolyamatra: e_t = rho·e_{t-1} + u_t; rho = Cov(e_t, e_{t-1}) / Var(e_{t-1}).</t>
        </is>
      </c>
      <c r="G88" s="7" t="inlineStr">
        <is>
          <t>Negyedéves magyar makro-idősorok (1995–2007) + teljes DSGE-újrabecslés.</t>
        </is>
      </c>
      <c r="H88" s="7" t="inlineStr">
        <is>
          <t>0,4–0,9 (tipikus DSGE-tartomány)</t>
        </is>
      </c>
      <c r="I88" s="7" t="inlineStr">
        <is>
          <t>NEM — a projekt nem futtat Bayes-i becslést; a készlet együttesen becsült.</t>
        </is>
      </c>
      <c r="J88" s="7" t="inlineStr">
        <is>
          <t>Teljes újrabecslés mai magyar mintán (önálló kutatási projekt, nem fér a decemberi leadásba).</t>
        </is>
      </c>
      <c r="K88" s="7" t="inlineStr">
        <is>
          <t>IGEN.</t>
        </is>
      </c>
      <c r="L88" s="7" t="n">
        <v>0.661</v>
      </c>
      <c r="M88" s="7" t="inlineStr">
        <is>
          <t>C</t>
        </is>
      </c>
      <c r="N88" s="7" t="inlineStr">
        <is>
          <t>horgonyzott</t>
        </is>
      </c>
      <c r="O88" s="7" t="inlineStr">
        <is>
          <t>aktív</t>
        </is>
      </c>
      <c r="P88" s="7" t="inlineStr"/>
    </row>
    <row r="89">
      <c r="A89" s="7" t="inlineStr">
        <is>
          <t>rho_i</t>
        </is>
      </c>
      <c r="B89" s="7" t="inlineStr">
        <is>
          <t>Beruházási sokk perzisztenciája</t>
        </is>
      </c>
      <c r="C89" s="7" t="inlineStr">
        <is>
          <t>AR(1) sokk-perzisztencia. A determinisztikus euró-szcenárióban NEM aktív (a sokkok nincsenek hajtva), csak sztochasztikus futásban él.</t>
        </is>
      </c>
      <c r="D89" s="7" t="inlineStr">
        <is>
          <t>A megfelelő AR(1) sokkfolyamat tehetetlensége.</t>
        </is>
      </c>
      <c r="E89" s="7" t="inlineStr">
        <is>
          <t>⚪ A determinisztikus euró-szcenárióban NEM aktív. Sztochasztikus futásban a sokk lecsengésének sebessége.</t>
        </is>
      </c>
      <c r="F89" s="7" t="inlineStr">
        <is>
          <t>AR(1) regresszió a becsült sokkfolyamatra: e_t = rho·e_{t-1} + u_t; rho = Cov(e_t, e_{t-1}) / Var(e_{t-1}).</t>
        </is>
      </c>
      <c r="G89" s="7" t="inlineStr">
        <is>
          <t>Negyedéves magyar makro-idősorok (1995–2007) + teljes DSGE-újrabecslés.</t>
        </is>
      </c>
      <c r="H89" s="7" t="inlineStr">
        <is>
          <t>0,4–0,9 (tipikus DSGE-tartomány)</t>
        </is>
      </c>
      <c r="I89" s="7" t="inlineStr">
        <is>
          <t>NEM — a projekt nem futtat Bayes-i becslést; a készlet együttesen becsült.</t>
        </is>
      </c>
      <c r="J89" s="7" t="inlineStr">
        <is>
          <t>Teljes újrabecslés mai magyar mintán (önálló kutatási projekt, nem fér a decemberi leadásba).</t>
        </is>
      </c>
      <c r="K89" s="7" t="inlineStr">
        <is>
          <t>IGEN.</t>
        </is>
      </c>
      <c r="L89" s="7" t="n">
        <v>0.488</v>
      </c>
      <c r="M89" s="7" t="inlineStr">
        <is>
          <t>C</t>
        </is>
      </c>
      <c r="N89" s="7" t="inlineStr">
        <is>
          <t>horgonyzott</t>
        </is>
      </c>
      <c r="O89" s="7" t="inlineStr">
        <is>
          <t>aktív</t>
        </is>
      </c>
      <c r="P89" s="7" t="inlineStr"/>
    </row>
    <row r="90">
      <c r="A90" s="7" t="inlineStr">
        <is>
          <t>rho_pr</t>
        </is>
      </c>
      <c r="B90" s="7" t="inlineStr">
        <is>
          <t>Kockázati prémium sokk perzisztenciája</t>
        </is>
      </c>
      <c r="C90" s="7" t="inlineStr">
        <is>
          <t>AR(1) sokk-perzisztencia. A determinisztikus euró-szcenárióban NEM aktív (a sokkok nincsenek hajtva), csak sztochasztikus futásban él.</t>
        </is>
      </c>
      <c r="D90" s="7" t="inlineStr">
        <is>
          <t>A megfelelő AR(1) sokkfolyamat tehetetlensége.</t>
        </is>
      </c>
      <c r="E90" s="7" t="inlineStr">
        <is>
          <t>⚪ A determinisztikus euró-szcenárióban NEM aktív. Sztochasztikus futásban a sokk lecsengésének sebessége.</t>
        </is>
      </c>
      <c r="F90" s="7" t="inlineStr">
        <is>
          <t>AR(1) regresszió a becsült sokkfolyamatra: e_t = rho·e_{t-1} + u_t; rho = Cov(e_t, e_{t-1}) / Var(e_{t-1}).</t>
        </is>
      </c>
      <c r="G90" s="7" t="inlineStr">
        <is>
          <t>Negyedéves magyar makro-idősorok (1995–2007) + teljes DSGE-újrabecslés.</t>
        </is>
      </c>
      <c r="H90" s="7" t="inlineStr">
        <is>
          <t>0,4–0,9 (tipikus DSGE-tartomány)</t>
        </is>
      </c>
      <c r="I90" s="7" t="inlineStr">
        <is>
          <t>NEM — a projekt nem futtat Bayes-i becslést; a készlet együttesen becsült.</t>
        </is>
      </c>
      <c r="J90" s="7" t="inlineStr">
        <is>
          <t>Teljes újrabecslés mai magyar mintán (önálló kutatási projekt, nem fér a decemberi leadásba).</t>
        </is>
      </c>
      <c r="K90" s="7" t="inlineStr">
        <is>
          <t>IGEN.</t>
        </is>
      </c>
      <c r="L90" s="7" t="n">
        <v>0.82</v>
      </c>
      <c r="M90" s="7" t="inlineStr">
        <is>
          <t>C</t>
        </is>
      </c>
      <c r="N90" s="7" t="inlineStr">
        <is>
          <t>horgonyzott</t>
        </is>
      </c>
      <c r="O90" s="7" t="inlineStr">
        <is>
          <t>aktív</t>
        </is>
      </c>
      <c r="P90" s="7" t="inlineStr"/>
    </row>
    <row r="91">
      <c r="A91" s="7" t="inlineStr">
        <is>
          <t>rho_mx</t>
        </is>
      </c>
      <c r="B91" s="7" t="inlineStr">
        <is>
          <t>Exportár/markup sokk perzisztenciája</t>
        </is>
      </c>
      <c r="C91" s="7" t="inlineStr">
        <is>
          <t>AR(1) sokk-perzisztencia. A determinisztikus euró-szcenárióban NEM aktív (a sokkok nincsenek hajtva), csak sztochasztikus futásban él.</t>
        </is>
      </c>
      <c r="D91" s="7" t="inlineStr">
        <is>
          <t>Az e_mx_ar AR(1) folyamat tehetetlensége.</t>
        </is>
      </c>
      <c r="E91" s="7" t="inlineStr">
        <is>
          <t>⚠ KIVÉTEL a sokkok közül: a rho_mx az L-TÍPUS ár-Phillips-sokkjának tartósságát szabja (a pi_E/pi_D nyers sokkot kap, a pi_L AR-folyamatot). Sztochasztikus futásban ez NÉMÁN eltolhatná a KKV/nagyvállalat összevetést — füstteszt-őr fogja el.</t>
        </is>
      </c>
      <c r="F91" s="7" t="inlineStr">
        <is>
          <t>AR(1) regresszió a becsült sokkfolyamatra: e_t = rho·e_{t-1} + u_t; rho = Cov(e_t, e_{t-1}) / Var(e_{t-1}).</t>
        </is>
      </c>
      <c r="G91" s="7" t="inlineStr">
        <is>
          <t>Negyedéves magyar makro-idősorok (1995–2007) + teljes DSGE-újrabecslés.</t>
        </is>
      </c>
      <c r="H91" s="7" t="inlineStr">
        <is>
          <t>0,2–0,6 (JV 0,318)</t>
        </is>
      </c>
      <c r="I91" s="7" t="inlineStr">
        <is>
          <t>NEM — a projekt nem futtat Bayes-i becslést; a készlet együttesen becsült.</t>
        </is>
      </c>
      <c r="J91" s="7" t="inlineStr">
        <is>
          <t>Teljes újrabecslés mai magyar mintán (önálló kutatási projekt, nem fér a decemberi leadásba).</t>
        </is>
      </c>
      <c r="K91" s="7" t="inlineStr">
        <is>
          <t>IGEN.</t>
        </is>
      </c>
      <c r="L91" s="7" t="n">
        <v>0.318</v>
      </c>
      <c r="M91" s="7" t="inlineStr">
        <is>
          <t>C</t>
        </is>
      </c>
      <c r="N91" s="7" t="inlineStr">
        <is>
          <t>horgonyzott</t>
        </is>
      </c>
      <c r="O91" s="7" t="inlineStr">
        <is>
          <t>aktív</t>
        </is>
      </c>
      <c r="P91" s="7" t="inlineStr"/>
    </row>
    <row r="92">
      <c r="A92" s="7" t="inlineStr">
        <is>
          <t>rho_g</t>
        </is>
      </c>
      <c r="B92" s="7" t="inlineStr">
        <is>
          <t>Kormányzati keresleti sokk perzisztenciája</t>
        </is>
      </c>
      <c r="C92" s="7" t="inlineStr">
        <is>
          <t>AR(1) sokk-perzisztencia. A determinisztikus euró-szcenárióban NEM aktív (a sokkok nincsenek hajtva), csak sztochasztikus futásban él.</t>
        </is>
      </c>
      <c r="D92" s="7" t="inlineStr">
        <is>
          <t>A megfelelő AR(1) sokkfolyamat tehetetlensége.</t>
        </is>
      </c>
      <c r="E92" s="7" t="inlineStr">
        <is>
          <t>⚪ A determinisztikus euró-szcenárióban NEM aktív. Sztochasztikus futásban a sokk lecsengésének sebessége.</t>
        </is>
      </c>
      <c r="F92" s="7" t="inlineStr">
        <is>
          <t>AR(1) regresszió a becsült sokkfolyamatra: e_t = rho·e_{t-1} + u_t; rho = Cov(e_t, e_{t-1}) / Var(e_{t-1}).</t>
        </is>
      </c>
      <c r="G92" s="7" t="inlineStr">
        <is>
          <t>Negyedéves magyar makro-idősorok (1995–2007) + teljes DSGE-újrabecslés.</t>
        </is>
      </c>
      <c r="H92" s="7" t="inlineStr">
        <is>
          <t>0,4–0,9 (tipikus DSGE-tartomány)</t>
        </is>
      </c>
      <c r="I92" s="7" t="inlineStr">
        <is>
          <t>NEM — a projekt nem futtat Bayes-i becslést; a készlet együttesen becsült.</t>
        </is>
      </c>
      <c r="J92" s="7" t="inlineStr">
        <is>
          <t>Teljes újrabecslés mai magyar mintán (önálló kutatási projekt, nem fér a decemberi leadásba).</t>
        </is>
      </c>
      <c r="K92" s="7" t="inlineStr">
        <is>
          <t>IGEN.</t>
        </is>
      </c>
      <c r="L92" s="7" t="n">
        <v>0.8</v>
      </c>
      <c r="M92" s="7" t="inlineStr">
        <is>
          <t>C</t>
        </is>
      </c>
      <c r="N92" s="7" t="inlineStr">
        <is>
          <t>horgonyzott</t>
        </is>
      </c>
      <c r="O92" s="7" t="inlineStr">
        <is>
          <t>aktív</t>
        </is>
      </c>
      <c r="P92" s="7" t="inlineStr"/>
    </row>
  </sheetData>
  <autoFilter ref="A1:P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2" t="inlineStr">
        <is>
          <t>Kategória / státusz</t>
        </is>
      </c>
      <c r="B1" s="2" t="inlineStr">
        <is>
          <t>Darab</t>
        </is>
      </c>
    </row>
    <row r="2">
      <c r="A2" s="3" t="inlineStr">
        <is>
          <t>A — saját adat (Opten)</t>
        </is>
      </c>
      <c r="B2" s="3">
        <f>COUNTIF('Kalibracios terv'!M:M,"A")</f>
        <v/>
      </c>
    </row>
    <row r="3">
      <c r="A3" s="3" t="inlineStr">
        <is>
          <t>B — KSH-ból pótolható</t>
        </is>
      </c>
      <c r="B3" s="3">
        <f>COUNTIF('Kalibracios terv'!M:M,"B")</f>
        <v/>
      </c>
    </row>
    <row r="4">
      <c r="A4" s="3" t="inlineStr">
        <is>
          <t>C — JV / irodalmi konvenció</t>
        </is>
      </c>
      <c r="B4" s="3">
        <f>COUNTIF('Kalibracios terv'!M:M,"C")</f>
        <v/>
      </c>
    </row>
    <row r="5">
      <c r="A5" s="3" t="inlineStr">
        <is>
          <t>D — nem azonosított</t>
        </is>
      </c>
      <c r="B5" s="3">
        <f>COUNTIF('Kalibracios terv'!M:M,"D")</f>
        <v/>
      </c>
    </row>
    <row r="6">
      <c r="A6" s="3" t="inlineStr">
        <is>
          <t>E — származtatott / technikai</t>
        </is>
      </c>
      <c r="B6" s="3">
        <f>COUNTIF('Kalibracios terv'!M:M,"E")</f>
        <v/>
      </c>
    </row>
    <row r="7">
      <c r="A7" s="3" t="inlineStr"/>
      <c r="B7" s="3" t="inlineStr"/>
    </row>
    <row r="8">
      <c r="A8" s="3" t="inlineStr">
        <is>
          <t>horgonyzott</t>
        </is>
      </c>
      <c r="B8" s="3">
        <f>COUNTIF('Kalibracios terv'!N:N,"horgonyzott")</f>
        <v/>
      </c>
    </row>
    <row r="9">
      <c r="A9" s="3" t="inlineStr">
        <is>
          <t>feltételes</t>
        </is>
      </c>
      <c r="B9" s="3">
        <f>COUNTIF('Kalibracios terv'!N:N,"feltételes")</f>
        <v/>
      </c>
    </row>
    <row r="10">
      <c r="A10" s="3" t="inlineStr">
        <is>
          <t>pótolandó</t>
        </is>
      </c>
      <c r="B10" s="3">
        <f>COUNTIF('Kalibracios terv'!N:N,"pótolandó")</f>
        <v/>
      </c>
    </row>
    <row r="11">
      <c r="A11" s="3" t="inlineStr">
        <is>
          <t>horgonyzatlan</t>
        </is>
      </c>
      <c r="B11" s="3">
        <f>COUNTIF('Kalibracios terv'!N:N,"horgonyzatlan")</f>
        <v/>
      </c>
    </row>
    <row r="12">
      <c r="A12" s="3" t="inlineStr">
        <is>
          <t>származtatott</t>
        </is>
      </c>
      <c r="B12" s="3">
        <f>COUNTIF('Kalibracios terv'!N:N,"származtatott")</f>
        <v/>
      </c>
    </row>
    <row r="13">
      <c r="A13" s="3" t="inlineStr"/>
      <c r="B13" s="3" t="inlineStr"/>
    </row>
    <row r="14">
      <c r="A14" s="3" t="inlineStr">
        <is>
          <t>HALOTT paraméter</t>
        </is>
      </c>
      <c r="B14" s="3">
        <f>COUNTIF('Kalibracios terv'!O:O,"HALOTT*")</f>
        <v/>
      </c>
    </row>
    <row r="15">
      <c r="A15" s="3" t="inlineStr">
        <is>
          <t>örökölt bizonytalanságú</t>
        </is>
      </c>
      <c r="B15" s="3">
        <f>COUNTIF('Kalibracios terv'!O:O,"örökölt*")</f>
        <v/>
      </c>
    </row>
    <row r="16">
      <c r="A16" s="3" t="inlineStr"/>
      <c r="B16" s="3" t="inlineStr"/>
    </row>
    <row r="17">
      <c r="A17" s="3" t="inlineStr">
        <is>
          <t>ÖSSZESEN</t>
        </is>
      </c>
      <c r="B17" s="3">
        <f>COUNTA('Kalibracios terv'!A2:A92)</f>
        <v/>
      </c>
    </row>
    <row r="19">
      <c r="A19" s="4" t="inlineStr">
        <is>
          <t>A darabszámok KÉPLETTEL számolódnak a 'Kalibracios terv' lapról, tehát együtt mozognak vele.</t>
        </is>
      </c>
    </row>
    <row r="20">
      <c r="A20" s="4" t="inlineStr">
        <is>
          <t>Forrás: docs/regiszter/parameterek.csv + _params_dump.csv (a modellből).</t>
        </is>
      </c>
    </row>
    <row r="21">
      <c r="A21" s="5" t="inlineStr">
        <is>
          <t>MEGJEGYZES: a B oszlop cellai KEPLETEK. Ha a megnyitaskor uresnek latszanak, nyomj Ctrl+Alt+F9-et (ujraszamolas) - a generalo kornyezetben nem volt LibreOffice, ezert nincs elmentett gyorsitotar-ertekuk.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2026-08-26T10:42:26Z</dcterms:created>
  <dcterms:modified xmlns:dcterms="http://purl.org/dc/terms/" xmlns:xsi="http://www.w3.org/2001/XMLSchema-instance" xsi:type="dcterms:W3CDTF">2026-08-26T10:42:27Z</dcterms:modified>
</cp:coreProperties>
</file>